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SB1\Downloads\"/>
    </mc:Choice>
  </mc:AlternateContent>
  <xr:revisionPtr revIDLastSave="0" documentId="13_ncr:1_{38D01320-E2B0-4C07-BC41-5F3A4ABC6561}" xr6:coauthVersionLast="47" xr6:coauthVersionMax="47" xr10:uidLastSave="{00000000-0000-0000-0000-000000000000}"/>
  <bookViews>
    <workbookView xWindow="-98" yWindow="-98" windowWidth="28996" windowHeight="15675" xr2:uid="{415841E4-26AF-4484-9038-1EBFAD466B2E}"/>
  </bookViews>
  <sheets>
    <sheet name="Grocery_Inventory new v1" sheetId="1" r:id="rId1"/>
  </sheets>
  <definedNames>
    <definedName name="_xlnm._FilterDatabase" localSheetId="0" hidden="1">'Grocery_Inventory new v1'!$K$1:$K$991</definedName>
  </definedNames>
  <calcPr calcId="181029"/>
</workbook>
</file>

<file path=xl/calcChain.xml><?xml version="1.0" encoding="utf-8"?>
<calcChain xmlns="http://schemas.openxmlformats.org/spreadsheetml/2006/main">
  <c r="O968" i="1" l="1"/>
  <c r="O558" i="1"/>
  <c r="O467" i="1"/>
  <c r="O430" i="1"/>
  <c r="O337" i="1"/>
  <c r="O259" i="1"/>
  <c r="O194" i="1"/>
  <c r="O130" i="1"/>
  <c r="O65" i="1"/>
  <c r="H991" i="1"/>
  <c r="O991" i="1" s="1"/>
  <c r="H990" i="1"/>
  <c r="O990" i="1" s="1"/>
  <c r="H989" i="1"/>
  <c r="O989" i="1" s="1"/>
  <c r="H988" i="1"/>
  <c r="O988" i="1" s="1"/>
  <c r="H987" i="1"/>
  <c r="O987" i="1" s="1"/>
  <c r="H986" i="1"/>
  <c r="O986" i="1" s="1"/>
  <c r="H985" i="1"/>
  <c r="O985" i="1" s="1"/>
  <c r="H984" i="1"/>
  <c r="O984" i="1" s="1"/>
  <c r="H983" i="1"/>
  <c r="O983" i="1" s="1"/>
  <c r="H982" i="1"/>
  <c r="O982" i="1" s="1"/>
  <c r="H981" i="1"/>
  <c r="O981" i="1" s="1"/>
  <c r="H980" i="1"/>
  <c r="O980" i="1" s="1"/>
  <c r="H979" i="1"/>
  <c r="O979" i="1" s="1"/>
  <c r="H978" i="1"/>
  <c r="O978" i="1" s="1"/>
  <c r="H977" i="1"/>
  <c r="O977" i="1" s="1"/>
  <c r="H976" i="1"/>
  <c r="O976" i="1" s="1"/>
  <c r="H975" i="1"/>
  <c r="O975" i="1" s="1"/>
  <c r="H974" i="1"/>
  <c r="O974" i="1" s="1"/>
  <c r="H973" i="1"/>
  <c r="O973" i="1" s="1"/>
  <c r="H972" i="1"/>
  <c r="O972" i="1" s="1"/>
  <c r="H971" i="1"/>
  <c r="O971" i="1" s="1"/>
  <c r="H970" i="1"/>
  <c r="O970" i="1" s="1"/>
  <c r="H969" i="1"/>
  <c r="O969" i="1" s="1"/>
  <c r="H968" i="1"/>
  <c r="H967" i="1"/>
  <c r="O967" i="1" s="1"/>
  <c r="H966" i="1"/>
  <c r="O966" i="1" s="1"/>
  <c r="H965" i="1"/>
  <c r="O965" i="1" s="1"/>
  <c r="H964" i="1"/>
  <c r="O964" i="1" s="1"/>
  <c r="H963" i="1"/>
  <c r="O963" i="1" s="1"/>
  <c r="H962" i="1"/>
  <c r="O962" i="1" s="1"/>
  <c r="H961" i="1"/>
  <c r="O961" i="1" s="1"/>
  <c r="H960" i="1"/>
  <c r="O960" i="1" s="1"/>
  <c r="H959" i="1"/>
  <c r="O959" i="1" s="1"/>
  <c r="H958" i="1"/>
  <c r="O958" i="1" s="1"/>
  <c r="H957" i="1"/>
  <c r="O957" i="1" s="1"/>
  <c r="H956" i="1"/>
  <c r="O956" i="1" s="1"/>
  <c r="H955" i="1"/>
  <c r="O955" i="1" s="1"/>
  <c r="H954" i="1"/>
  <c r="O954" i="1" s="1"/>
  <c r="H952" i="1"/>
  <c r="O952" i="1" s="1"/>
  <c r="H951" i="1"/>
  <c r="O951" i="1" s="1"/>
  <c r="H950" i="1"/>
  <c r="O950" i="1" s="1"/>
  <c r="H949" i="1"/>
  <c r="O949" i="1" s="1"/>
  <c r="H948" i="1"/>
  <c r="O948" i="1" s="1"/>
  <c r="H947" i="1"/>
  <c r="O947" i="1" s="1"/>
  <c r="H946" i="1"/>
  <c r="O946" i="1" s="1"/>
  <c r="H945" i="1"/>
  <c r="O945" i="1" s="1"/>
  <c r="H944" i="1"/>
  <c r="O944" i="1" s="1"/>
  <c r="H943" i="1"/>
  <c r="O943" i="1" s="1"/>
  <c r="H942" i="1"/>
  <c r="O942" i="1" s="1"/>
  <c r="H941" i="1"/>
  <c r="O941" i="1" s="1"/>
  <c r="H940" i="1"/>
  <c r="O940" i="1" s="1"/>
  <c r="H939" i="1"/>
  <c r="O939" i="1" s="1"/>
  <c r="H938" i="1"/>
  <c r="O938" i="1" s="1"/>
  <c r="H937" i="1"/>
  <c r="O937" i="1" s="1"/>
  <c r="H936" i="1"/>
  <c r="O936" i="1" s="1"/>
  <c r="H935" i="1"/>
  <c r="O935" i="1" s="1"/>
  <c r="H934" i="1"/>
  <c r="O934" i="1" s="1"/>
  <c r="H933" i="1"/>
  <c r="O933" i="1" s="1"/>
  <c r="H932" i="1"/>
  <c r="O932" i="1" s="1"/>
  <c r="H931" i="1"/>
  <c r="O931" i="1" s="1"/>
  <c r="H930" i="1"/>
  <c r="O930" i="1" s="1"/>
  <c r="H929" i="1"/>
  <c r="O929" i="1" s="1"/>
  <c r="H928" i="1"/>
  <c r="O928" i="1" s="1"/>
  <c r="H927" i="1"/>
  <c r="O927" i="1" s="1"/>
  <c r="H926" i="1"/>
  <c r="O926" i="1" s="1"/>
  <c r="H925" i="1"/>
  <c r="O925" i="1" s="1"/>
  <c r="H924" i="1"/>
  <c r="O924" i="1" s="1"/>
  <c r="H923" i="1"/>
  <c r="O923" i="1" s="1"/>
  <c r="H922" i="1"/>
  <c r="O922" i="1" s="1"/>
  <c r="H921" i="1"/>
  <c r="O921" i="1" s="1"/>
  <c r="H920" i="1"/>
  <c r="O920" i="1" s="1"/>
  <c r="H919" i="1"/>
  <c r="O919" i="1" s="1"/>
  <c r="H918" i="1"/>
  <c r="O918" i="1" s="1"/>
  <c r="H917" i="1"/>
  <c r="O917" i="1" s="1"/>
  <c r="H916" i="1"/>
  <c r="O916" i="1" s="1"/>
  <c r="H915" i="1"/>
  <c r="O915" i="1" s="1"/>
  <c r="H914" i="1"/>
  <c r="O914" i="1" s="1"/>
  <c r="H913" i="1"/>
  <c r="O913" i="1" s="1"/>
  <c r="H912" i="1"/>
  <c r="O912" i="1" s="1"/>
  <c r="H911" i="1"/>
  <c r="O911" i="1" s="1"/>
  <c r="H910" i="1"/>
  <c r="O910" i="1" s="1"/>
  <c r="H909" i="1"/>
  <c r="O909" i="1" s="1"/>
  <c r="H908" i="1"/>
  <c r="O908" i="1" s="1"/>
  <c r="H907" i="1"/>
  <c r="O907" i="1" s="1"/>
  <c r="H906" i="1"/>
  <c r="O906" i="1" s="1"/>
  <c r="H905" i="1"/>
  <c r="O905" i="1" s="1"/>
  <c r="H904" i="1"/>
  <c r="O904" i="1" s="1"/>
  <c r="H903" i="1"/>
  <c r="O903" i="1" s="1"/>
  <c r="H902" i="1"/>
  <c r="O902" i="1" s="1"/>
  <c r="H901" i="1"/>
  <c r="O901" i="1" s="1"/>
  <c r="H900" i="1"/>
  <c r="O900" i="1" s="1"/>
  <c r="H899" i="1"/>
  <c r="O899" i="1" s="1"/>
  <c r="H898" i="1"/>
  <c r="O898" i="1" s="1"/>
  <c r="H897" i="1"/>
  <c r="O897" i="1" s="1"/>
  <c r="H896" i="1"/>
  <c r="O896" i="1" s="1"/>
  <c r="H895" i="1"/>
  <c r="O895" i="1" s="1"/>
  <c r="H894" i="1"/>
  <c r="O894" i="1" s="1"/>
  <c r="H893" i="1"/>
  <c r="O893" i="1" s="1"/>
  <c r="H892" i="1"/>
  <c r="O892" i="1" s="1"/>
  <c r="H891" i="1"/>
  <c r="O891" i="1" s="1"/>
  <c r="H890" i="1"/>
  <c r="O890" i="1" s="1"/>
  <c r="H889" i="1"/>
  <c r="O889" i="1" s="1"/>
  <c r="H888" i="1"/>
  <c r="O888" i="1" s="1"/>
  <c r="H887" i="1"/>
  <c r="O887" i="1" s="1"/>
  <c r="H886" i="1"/>
  <c r="O886" i="1" s="1"/>
  <c r="H885" i="1"/>
  <c r="O885" i="1" s="1"/>
  <c r="H884" i="1"/>
  <c r="O884" i="1" s="1"/>
  <c r="H883" i="1"/>
  <c r="O883" i="1" s="1"/>
  <c r="H882" i="1"/>
  <c r="O882" i="1" s="1"/>
  <c r="H881" i="1"/>
  <c r="O881" i="1" s="1"/>
  <c r="H880" i="1"/>
  <c r="O880" i="1" s="1"/>
  <c r="H879" i="1"/>
  <c r="O879" i="1" s="1"/>
  <c r="H878" i="1"/>
  <c r="O878" i="1" s="1"/>
  <c r="H877" i="1"/>
  <c r="O877" i="1" s="1"/>
  <c r="H876" i="1"/>
  <c r="O876" i="1" s="1"/>
  <c r="H875" i="1"/>
  <c r="O875" i="1" s="1"/>
  <c r="H874" i="1"/>
  <c r="O874" i="1" s="1"/>
  <c r="H873" i="1"/>
  <c r="O873" i="1" s="1"/>
  <c r="H872" i="1"/>
  <c r="O872" i="1" s="1"/>
  <c r="H871" i="1"/>
  <c r="O871" i="1" s="1"/>
  <c r="H870" i="1"/>
  <c r="O870" i="1" s="1"/>
  <c r="H869" i="1"/>
  <c r="O869" i="1" s="1"/>
  <c r="H868" i="1"/>
  <c r="O868" i="1" s="1"/>
  <c r="H867" i="1"/>
  <c r="O867" i="1" s="1"/>
  <c r="H866" i="1"/>
  <c r="O866" i="1" s="1"/>
  <c r="H865" i="1"/>
  <c r="O865" i="1" s="1"/>
  <c r="H864" i="1"/>
  <c r="O864" i="1" s="1"/>
  <c r="H863" i="1"/>
  <c r="O863" i="1" s="1"/>
  <c r="H862" i="1"/>
  <c r="O862" i="1" s="1"/>
  <c r="H861" i="1"/>
  <c r="O861" i="1" s="1"/>
  <c r="H860" i="1"/>
  <c r="O860" i="1" s="1"/>
  <c r="H859" i="1"/>
  <c r="O859" i="1" s="1"/>
  <c r="H858" i="1"/>
  <c r="O858" i="1" s="1"/>
  <c r="H857" i="1"/>
  <c r="O857" i="1" s="1"/>
  <c r="H856" i="1"/>
  <c r="O856" i="1" s="1"/>
  <c r="H855" i="1"/>
  <c r="O855" i="1" s="1"/>
  <c r="H854" i="1"/>
  <c r="O854" i="1" s="1"/>
  <c r="H853" i="1"/>
  <c r="O853" i="1" s="1"/>
  <c r="H852" i="1"/>
  <c r="O852" i="1" s="1"/>
  <c r="H851" i="1"/>
  <c r="O851" i="1" s="1"/>
  <c r="H850" i="1"/>
  <c r="O850" i="1" s="1"/>
  <c r="H849" i="1"/>
  <c r="O849" i="1" s="1"/>
  <c r="H848" i="1"/>
  <c r="O848" i="1" s="1"/>
  <c r="H847" i="1"/>
  <c r="O847" i="1" s="1"/>
  <c r="H846" i="1"/>
  <c r="O846" i="1" s="1"/>
  <c r="H845" i="1"/>
  <c r="O845" i="1" s="1"/>
  <c r="H844" i="1"/>
  <c r="O844" i="1" s="1"/>
  <c r="H843" i="1"/>
  <c r="O843" i="1" s="1"/>
  <c r="H842" i="1"/>
  <c r="O842" i="1" s="1"/>
  <c r="H841" i="1"/>
  <c r="O841" i="1" s="1"/>
  <c r="H840" i="1"/>
  <c r="O840" i="1" s="1"/>
  <c r="H839" i="1"/>
  <c r="O839" i="1" s="1"/>
  <c r="H838" i="1"/>
  <c r="O838" i="1" s="1"/>
  <c r="H837" i="1"/>
  <c r="O837" i="1" s="1"/>
  <c r="H836" i="1"/>
  <c r="O836" i="1" s="1"/>
  <c r="H835" i="1"/>
  <c r="O835" i="1" s="1"/>
  <c r="H834" i="1"/>
  <c r="O834" i="1" s="1"/>
  <c r="H833" i="1"/>
  <c r="O833" i="1" s="1"/>
  <c r="H832" i="1"/>
  <c r="O832" i="1" s="1"/>
  <c r="H831" i="1"/>
  <c r="O831" i="1" s="1"/>
  <c r="H830" i="1"/>
  <c r="O830" i="1" s="1"/>
  <c r="H829" i="1"/>
  <c r="O829" i="1" s="1"/>
  <c r="H828" i="1"/>
  <c r="O828" i="1" s="1"/>
  <c r="H827" i="1"/>
  <c r="O827" i="1" s="1"/>
  <c r="H826" i="1"/>
  <c r="O826" i="1" s="1"/>
  <c r="H825" i="1"/>
  <c r="O825" i="1" s="1"/>
  <c r="H824" i="1"/>
  <c r="O824" i="1" s="1"/>
  <c r="H823" i="1"/>
  <c r="O823" i="1" s="1"/>
  <c r="H822" i="1"/>
  <c r="O822" i="1" s="1"/>
  <c r="H821" i="1"/>
  <c r="O821" i="1" s="1"/>
  <c r="H820" i="1"/>
  <c r="O820" i="1" s="1"/>
  <c r="H819" i="1"/>
  <c r="O819" i="1" s="1"/>
  <c r="H818" i="1"/>
  <c r="O818" i="1" s="1"/>
  <c r="H817" i="1"/>
  <c r="O817" i="1" s="1"/>
  <c r="H816" i="1"/>
  <c r="O816" i="1" s="1"/>
  <c r="H815" i="1"/>
  <c r="O815" i="1" s="1"/>
  <c r="H814" i="1"/>
  <c r="O814" i="1" s="1"/>
  <c r="H813" i="1"/>
  <c r="O813" i="1" s="1"/>
  <c r="H812" i="1"/>
  <c r="O812" i="1" s="1"/>
  <c r="H811" i="1"/>
  <c r="O811" i="1" s="1"/>
  <c r="H810" i="1"/>
  <c r="O810" i="1" s="1"/>
  <c r="H809" i="1"/>
  <c r="O809" i="1" s="1"/>
  <c r="H808" i="1"/>
  <c r="O808" i="1" s="1"/>
  <c r="H807" i="1"/>
  <c r="O807" i="1" s="1"/>
  <c r="H806" i="1"/>
  <c r="O806" i="1" s="1"/>
  <c r="H805" i="1"/>
  <c r="O805" i="1" s="1"/>
  <c r="H804" i="1"/>
  <c r="O804" i="1" s="1"/>
  <c r="H803" i="1"/>
  <c r="O803" i="1" s="1"/>
  <c r="H802" i="1"/>
  <c r="O802" i="1" s="1"/>
  <c r="H801" i="1"/>
  <c r="O801" i="1" s="1"/>
  <c r="H800" i="1"/>
  <c r="O800" i="1" s="1"/>
  <c r="H799" i="1"/>
  <c r="O799" i="1" s="1"/>
  <c r="H798" i="1"/>
  <c r="O798" i="1" s="1"/>
  <c r="H797" i="1"/>
  <c r="O797" i="1" s="1"/>
  <c r="H796" i="1"/>
  <c r="O796" i="1" s="1"/>
  <c r="H795" i="1"/>
  <c r="O795" i="1" s="1"/>
  <c r="H794" i="1"/>
  <c r="O794" i="1" s="1"/>
  <c r="H793" i="1"/>
  <c r="O793" i="1" s="1"/>
  <c r="H792" i="1"/>
  <c r="O792" i="1" s="1"/>
  <c r="H791" i="1"/>
  <c r="O791" i="1" s="1"/>
  <c r="H790" i="1"/>
  <c r="O790" i="1" s="1"/>
  <c r="H789" i="1"/>
  <c r="O789" i="1" s="1"/>
  <c r="H788" i="1"/>
  <c r="O788" i="1" s="1"/>
  <c r="H787" i="1"/>
  <c r="O787" i="1" s="1"/>
  <c r="H786" i="1"/>
  <c r="O786" i="1" s="1"/>
  <c r="H785" i="1"/>
  <c r="O785" i="1" s="1"/>
  <c r="H784" i="1"/>
  <c r="O784" i="1" s="1"/>
  <c r="H783" i="1"/>
  <c r="O783" i="1" s="1"/>
  <c r="H782" i="1"/>
  <c r="O782" i="1" s="1"/>
  <c r="H781" i="1"/>
  <c r="O781" i="1" s="1"/>
  <c r="H780" i="1"/>
  <c r="O780" i="1" s="1"/>
  <c r="H779" i="1"/>
  <c r="O779" i="1" s="1"/>
  <c r="H778" i="1"/>
  <c r="O778" i="1" s="1"/>
  <c r="H777" i="1"/>
  <c r="O777" i="1" s="1"/>
  <c r="H776" i="1"/>
  <c r="O776" i="1" s="1"/>
  <c r="H775" i="1"/>
  <c r="O775" i="1" s="1"/>
  <c r="H774" i="1"/>
  <c r="O774" i="1" s="1"/>
  <c r="H773" i="1"/>
  <c r="O773" i="1" s="1"/>
  <c r="H772" i="1"/>
  <c r="O772" i="1" s="1"/>
  <c r="H771" i="1"/>
  <c r="O771" i="1" s="1"/>
  <c r="H770" i="1"/>
  <c r="O770" i="1" s="1"/>
  <c r="H769" i="1"/>
  <c r="O769" i="1" s="1"/>
  <c r="H768" i="1"/>
  <c r="O768" i="1" s="1"/>
  <c r="H767" i="1"/>
  <c r="O767" i="1" s="1"/>
  <c r="H766" i="1"/>
  <c r="O766" i="1" s="1"/>
  <c r="H765" i="1"/>
  <c r="O765" i="1" s="1"/>
  <c r="H764" i="1"/>
  <c r="O764" i="1" s="1"/>
  <c r="H763" i="1"/>
  <c r="O763" i="1" s="1"/>
  <c r="H762" i="1"/>
  <c r="O762" i="1" s="1"/>
  <c r="H761" i="1"/>
  <c r="O761" i="1" s="1"/>
  <c r="H760" i="1"/>
  <c r="O760" i="1" s="1"/>
  <c r="H759" i="1"/>
  <c r="O759" i="1" s="1"/>
  <c r="H758" i="1"/>
  <c r="O758" i="1" s="1"/>
  <c r="H757" i="1"/>
  <c r="O757" i="1" s="1"/>
  <c r="H756" i="1"/>
  <c r="O756" i="1" s="1"/>
  <c r="H755" i="1"/>
  <c r="O755" i="1" s="1"/>
  <c r="H754" i="1"/>
  <c r="O754" i="1" s="1"/>
  <c r="H753" i="1"/>
  <c r="O753" i="1" s="1"/>
  <c r="H752" i="1"/>
  <c r="O752" i="1" s="1"/>
  <c r="H751" i="1"/>
  <c r="O751" i="1" s="1"/>
  <c r="H750" i="1"/>
  <c r="O750" i="1" s="1"/>
  <c r="H749" i="1"/>
  <c r="O749" i="1" s="1"/>
  <c r="H748" i="1"/>
  <c r="O748" i="1" s="1"/>
  <c r="H747" i="1"/>
  <c r="O747" i="1" s="1"/>
  <c r="H746" i="1"/>
  <c r="O746" i="1" s="1"/>
  <c r="H745" i="1"/>
  <c r="O745" i="1" s="1"/>
  <c r="H744" i="1"/>
  <c r="O744" i="1" s="1"/>
  <c r="H743" i="1"/>
  <c r="O743" i="1" s="1"/>
  <c r="H742" i="1"/>
  <c r="O742" i="1" s="1"/>
  <c r="H741" i="1"/>
  <c r="O741" i="1" s="1"/>
  <c r="H740" i="1"/>
  <c r="O740" i="1" s="1"/>
  <c r="H739" i="1"/>
  <c r="O739" i="1" s="1"/>
  <c r="H738" i="1"/>
  <c r="O738" i="1" s="1"/>
  <c r="H737" i="1"/>
  <c r="O737" i="1" s="1"/>
  <c r="H736" i="1"/>
  <c r="O736" i="1" s="1"/>
  <c r="H735" i="1"/>
  <c r="O735" i="1" s="1"/>
  <c r="H734" i="1"/>
  <c r="O734" i="1" s="1"/>
  <c r="H733" i="1"/>
  <c r="O733" i="1" s="1"/>
  <c r="H732" i="1"/>
  <c r="O732" i="1" s="1"/>
  <c r="H731" i="1"/>
  <c r="O731" i="1" s="1"/>
  <c r="H730" i="1"/>
  <c r="O730" i="1" s="1"/>
  <c r="H729" i="1"/>
  <c r="O729" i="1" s="1"/>
  <c r="H728" i="1"/>
  <c r="O728" i="1" s="1"/>
  <c r="H727" i="1"/>
  <c r="O727" i="1" s="1"/>
  <c r="H726" i="1"/>
  <c r="O726" i="1" s="1"/>
  <c r="H725" i="1"/>
  <c r="O725" i="1" s="1"/>
  <c r="H724" i="1"/>
  <c r="O724" i="1" s="1"/>
  <c r="H723" i="1"/>
  <c r="O723" i="1" s="1"/>
  <c r="H722" i="1"/>
  <c r="O722" i="1" s="1"/>
  <c r="H721" i="1"/>
  <c r="O721" i="1" s="1"/>
  <c r="H720" i="1"/>
  <c r="O720" i="1" s="1"/>
  <c r="H719" i="1"/>
  <c r="O719" i="1" s="1"/>
  <c r="H718" i="1"/>
  <c r="O718" i="1" s="1"/>
  <c r="H717" i="1"/>
  <c r="O717" i="1" s="1"/>
  <c r="H716" i="1"/>
  <c r="O716" i="1" s="1"/>
  <c r="H715" i="1"/>
  <c r="O715" i="1" s="1"/>
  <c r="H713" i="1"/>
  <c r="O713" i="1" s="1"/>
  <c r="H712" i="1"/>
  <c r="O712" i="1" s="1"/>
  <c r="H711" i="1"/>
  <c r="O711" i="1" s="1"/>
  <c r="H709" i="1"/>
  <c r="O709" i="1" s="1"/>
  <c r="H708" i="1"/>
  <c r="O708" i="1" s="1"/>
  <c r="H707" i="1"/>
  <c r="O707" i="1" s="1"/>
  <c r="H706" i="1"/>
  <c r="O706" i="1" s="1"/>
  <c r="H705" i="1"/>
  <c r="O705" i="1" s="1"/>
  <c r="H704" i="1"/>
  <c r="O704" i="1" s="1"/>
  <c r="H703" i="1"/>
  <c r="O703" i="1" s="1"/>
  <c r="H702" i="1"/>
  <c r="O702" i="1" s="1"/>
  <c r="H701" i="1"/>
  <c r="O701" i="1" s="1"/>
  <c r="H700" i="1"/>
  <c r="O700" i="1" s="1"/>
  <c r="H699" i="1"/>
  <c r="O699" i="1" s="1"/>
  <c r="H698" i="1"/>
  <c r="O698" i="1" s="1"/>
  <c r="H697" i="1"/>
  <c r="O697" i="1" s="1"/>
  <c r="H696" i="1"/>
  <c r="O696" i="1" s="1"/>
  <c r="H694" i="1"/>
  <c r="O694" i="1" s="1"/>
  <c r="H693" i="1"/>
  <c r="O693" i="1" s="1"/>
  <c r="H692" i="1"/>
  <c r="O692" i="1" s="1"/>
  <c r="H691" i="1"/>
  <c r="O691" i="1" s="1"/>
  <c r="H690" i="1"/>
  <c r="O690" i="1" s="1"/>
  <c r="H689" i="1"/>
  <c r="O689" i="1" s="1"/>
  <c r="H688" i="1"/>
  <c r="O688" i="1" s="1"/>
  <c r="H687" i="1"/>
  <c r="O687" i="1" s="1"/>
  <c r="H686" i="1"/>
  <c r="O686" i="1" s="1"/>
  <c r="H685" i="1"/>
  <c r="O685" i="1" s="1"/>
  <c r="H684" i="1"/>
  <c r="O684" i="1" s="1"/>
  <c r="H683" i="1"/>
  <c r="O683" i="1" s="1"/>
  <c r="H682" i="1"/>
  <c r="O682" i="1" s="1"/>
  <c r="H681" i="1"/>
  <c r="O681" i="1" s="1"/>
  <c r="H680" i="1"/>
  <c r="O680" i="1" s="1"/>
  <c r="H679" i="1"/>
  <c r="O679" i="1" s="1"/>
  <c r="H678" i="1"/>
  <c r="O678" i="1" s="1"/>
  <c r="H677" i="1"/>
  <c r="O677" i="1" s="1"/>
  <c r="H676" i="1"/>
  <c r="O676" i="1" s="1"/>
  <c r="H675" i="1"/>
  <c r="O675" i="1" s="1"/>
  <c r="H674" i="1"/>
  <c r="O674" i="1" s="1"/>
  <c r="H673" i="1"/>
  <c r="O673" i="1" s="1"/>
  <c r="H672" i="1"/>
  <c r="O672" i="1" s="1"/>
  <c r="H671" i="1"/>
  <c r="O671" i="1" s="1"/>
  <c r="H670" i="1"/>
  <c r="O670" i="1" s="1"/>
  <c r="H669" i="1"/>
  <c r="O669" i="1" s="1"/>
  <c r="H668" i="1"/>
  <c r="O668" i="1" s="1"/>
  <c r="H667" i="1"/>
  <c r="O667" i="1" s="1"/>
  <c r="H666" i="1"/>
  <c r="O666" i="1" s="1"/>
  <c r="H665" i="1"/>
  <c r="O665" i="1" s="1"/>
  <c r="H664" i="1"/>
  <c r="O664" i="1" s="1"/>
  <c r="H663" i="1"/>
  <c r="O663" i="1" s="1"/>
  <c r="H662" i="1"/>
  <c r="O662" i="1" s="1"/>
  <c r="H661" i="1"/>
  <c r="O661" i="1" s="1"/>
  <c r="H660" i="1"/>
  <c r="O660" i="1" s="1"/>
  <c r="H659" i="1"/>
  <c r="O659" i="1" s="1"/>
  <c r="H658" i="1"/>
  <c r="O658" i="1" s="1"/>
  <c r="H657" i="1"/>
  <c r="O657" i="1" s="1"/>
  <c r="H656" i="1"/>
  <c r="O656" i="1" s="1"/>
  <c r="H655" i="1"/>
  <c r="O655" i="1" s="1"/>
  <c r="H654" i="1"/>
  <c r="O654" i="1" s="1"/>
  <c r="H653" i="1"/>
  <c r="O653" i="1" s="1"/>
  <c r="H652" i="1"/>
  <c r="O652" i="1" s="1"/>
  <c r="H651" i="1"/>
  <c r="O651" i="1" s="1"/>
  <c r="H650" i="1"/>
  <c r="O650" i="1" s="1"/>
  <c r="H649" i="1"/>
  <c r="O649" i="1" s="1"/>
  <c r="H648" i="1"/>
  <c r="O648" i="1" s="1"/>
  <c r="H647" i="1"/>
  <c r="O647" i="1" s="1"/>
  <c r="H646" i="1"/>
  <c r="O646" i="1" s="1"/>
  <c r="H645" i="1"/>
  <c r="O645" i="1" s="1"/>
  <c r="H644" i="1"/>
  <c r="O644" i="1" s="1"/>
  <c r="H643" i="1"/>
  <c r="O643" i="1" s="1"/>
  <c r="H642" i="1"/>
  <c r="O642" i="1" s="1"/>
  <c r="H641" i="1"/>
  <c r="O641" i="1" s="1"/>
  <c r="H640" i="1"/>
  <c r="O640" i="1" s="1"/>
  <c r="H639" i="1"/>
  <c r="O639" i="1" s="1"/>
  <c r="H638" i="1"/>
  <c r="O638" i="1" s="1"/>
  <c r="H637" i="1"/>
  <c r="O637" i="1" s="1"/>
  <c r="H636" i="1"/>
  <c r="O636" i="1" s="1"/>
  <c r="H635" i="1"/>
  <c r="O635" i="1" s="1"/>
  <c r="H634" i="1"/>
  <c r="O634" i="1" s="1"/>
  <c r="H633" i="1"/>
  <c r="O633" i="1" s="1"/>
  <c r="H632" i="1"/>
  <c r="O632" i="1" s="1"/>
  <c r="H631" i="1"/>
  <c r="O631" i="1" s="1"/>
  <c r="H630" i="1"/>
  <c r="O630" i="1" s="1"/>
  <c r="H629" i="1"/>
  <c r="O629" i="1" s="1"/>
  <c r="H628" i="1"/>
  <c r="O628" i="1" s="1"/>
  <c r="H627" i="1"/>
  <c r="O627" i="1" s="1"/>
  <c r="H626" i="1"/>
  <c r="O626" i="1" s="1"/>
  <c r="H625" i="1"/>
  <c r="O625" i="1" s="1"/>
  <c r="H624" i="1"/>
  <c r="O624" i="1" s="1"/>
  <c r="H623" i="1"/>
  <c r="O623" i="1" s="1"/>
  <c r="H622" i="1"/>
  <c r="O622" i="1" s="1"/>
  <c r="H621" i="1"/>
  <c r="O621" i="1" s="1"/>
  <c r="H620" i="1"/>
  <c r="O620" i="1" s="1"/>
  <c r="H619" i="1"/>
  <c r="O619" i="1" s="1"/>
  <c r="H618" i="1"/>
  <c r="O618" i="1" s="1"/>
  <c r="H617" i="1"/>
  <c r="O617" i="1" s="1"/>
  <c r="H616" i="1"/>
  <c r="O616" i="1" s="1"/>
  <c r="H615" i="1"/>
  <c r="O615" i="1" s="1"/>
  <c r="H614" i="1"/>
  <c r="O614" i="1" s="1"/>
  <c r="H613" i="1"/>
  <c r="O613" i="1" s="1"/>
  <c r="H612" i="1"/>
  <c r="O612" i="1" s="1"/>
  <c r="H611" i="1"/>
  <c r="O611" i="1" s="1"/>
  <c r="H610" i="1"/>
  <c r="O610" i="1" s="1"/>
  <c r="H609" i="1"/>
  <c r="O609" i="1" s="1"/>
  <c r="H608" i="1"/>
  <c r="O608" i="1" s="1"/>
  <c r="H607" i="1"/>
  <c r="O607" i="1" s="1"/>
  <c r="H606" i="1"/>
  <c r="O606" i="1" s="1"/>
  <c r="H605" i="1"/>
  <c r="O605" i="1" s="1"/>
  <c r="H604" i="1"/>
  <c r="O604" i="1" s="1"/>
  <c r="H603" i="1"/>
  <c r="O603" i="1" s="1"/>
  <c r="H602" i="1"/>
  <c r="O602" i="1" s="1"/>
  <c r="H601" i="1"/>
  <c r="O601" i="1" s="1"/>
  <c r="H600" i="1"/>
  <c r="O600" i="1" s="1"/>
  <c r="H599" i="1"/>
  <c r="O599" i="1" s="1"/>
  <c r="H598" i="1"/>
  <c r="O598" i="1" s="1"/>
  <c r="H597" i="1"/>
  <c r="O597" i="1" s="1"/>
  <c r="H596" i="1"/>
  <c r="O596" i="1" s="1"/>
  <c r="H595" i="1"/>
  <c r="O595" i="1" s="1"/>
  <c r="H594" i="1"/>
  <c r="O594" i="1" s="1"/>
  <c r="H593" i="1"/>
  <c r="O593" i="1" s="1"/>
  <c r="H592" i="1"/>
  <c r="O592" i="1" s="1"/>
  <c r="H590" i="1"/>
  <c r="O590" i="1" s="1"/>
  <c r="H589" i="1"/>
  <c r="O589" i="1" s="1"/>
  <c r="H588" i="1"/>
  <c r="O588" i="1" s="1"/>
  <c r="H587" i="1"/>
  <c r="O587" i="1" s="1"/>
  <c r="H586" i="1"/>
  <c r="O586" i="1" s="1"/>
  <c r="H585" i="1"/>
  <c r="O585" i="1" s="1"/>
  <c r="H584" i="1"/>
  <c r="O584" i="1" s="1"/>
  <c r="H583" i="1"/>
  <c r="O583" i="1" s="1"/>
  <c r="H582" i="1"/>
  <c r="O582" i="1" s="1"/>
  <c r="H581" i="1"/>
  <c r="O581" i="1" s="1"/>
  <c r="H580" i="1"/>
  <c r="O580" i="1" s="1"/>
  <c r="H579" i="1"/>
  <c r="O579" i="1" s="1"/>
  <c r="H578" i="1"/>
  <c r="O578" i="1" s="1"/>
  <c r="H577" i="1"/>
  <c r="O577" i="1" s="1"/>
  <c r="H576" i="1"/>
  <c r="O576" i="1" s="1"/>
  <c r="H575" i="1"/>
  <c r="O575" i="1" s="1"/>
  <c r="H574" i="1"/>
  <c r="O574" i="1" s="1"/>
  <c r="H573" i="1"/>
  <c r="O573" i="1" s="1"/>
  <c r="H572" i="1"/>
  <c r="O572" i="1" s="1"/>
  <c r="H571" i="1"/>
  <c r="O571" i="1" s="1"/>
  <c r="H570" i="1"/>
  <c r="O570" i="1" s="1"/>
  <c r="H569" i="1"/>
  <c r="O569" i="1" s="1"/>
  <c r="H568" i="1"/>
  <c r="O568" i="1" s="1"/>
  <c r="H567" i="1"/>
  <c r="O567" i="1" s="1"/>
  <c r="H566" i="1"/>
  <c r="O566" i="1" s="1"/>
  <c r="H565" i="1"/>
  <c r="O565" i="1" s="1"/>
  <c r="H564" i="1"/>
  <c r="O564" i="1" s="1"/>
  <c r="H563" i="1"/>
  <c r="O563" i="1" s="1"/>
  <c r="H562" i="1"/>
  <c r="O562" i="1" s="1"/>
  <c r="H561" i="1"/>
  <c r="O561" i="1" s="1"/>
  <c r="H560" i="1"/>
  <c r="O560" i="1" s="1"/>
  <c r="H559" i="1"/>
  <c r="O559" i="1" s="1"/>
  <c r="H558" i="1"/>
  <c r="H557" i="1"/>
  <c r="O557" i="1" s="1"/>
  <c r="H556" i="1"/>
  <c r="O556" i="1" s="1"/>
  <c r="H555" i="1"/>
  <c r="O555" i="1" s="1"/>
  <c r="H554" i="1"/>
  <c r="O554" i="1" s="1"/>
  <c r="H553" i="1"/>
  <c r="O553" i="1" s="1"/>
  <c r="H552" i="1"/>
  <c r="O552" i="1" s="1"/>
  <c r="H551" i="1"/>
  <c r="O551" i="1" s="1"/>
  <c r="H550" i="1"/>
  <c r="O550" i="1" s="1"/>
  <c r="H549" i="1"/>
  <c r="O549" i="1" s="1"/>
  <c r="H548" i="1"/>
  <c r="O548" i="1" s="1"/>
  <c r="H547" i="1"/>
  <c r="O547" i="1" s="1"/>
  <c r="H546" i="1"/>
  <c r="O546" i="1" s="1"/>
  <c r="H545" i="1"/>
  <c r="O545" i="1" s="1"/>
  <c r="H544" i="1"/>
  <c r="O544" i="1" s="1"/>
  <c r="H543" i="1"/>
  <c r="O543" i="1" s="1"/>
  <c r="H542" i="1"/>
  <c r="O542" i="1" s="1"/>
  <c r="H541" i="1"/>
  <c r="O541" i="1" s="1"/>
  <c r="H540" i="1"/>
  <c r="O540" i="1" s="1"/>
  <c r="H539" i="1"/>
  <c r="O539" i="1" s="1"/>
  <c r="H538" i="1"/>
  <c r="O538" i="1" s="1"/>
  <c r="H537" i="1"/>
  <c r="O537" i="1" s="1"/>
  <c r="H536" i="1"/>
  <c r="O536" i="1" s="1"/>
  <c r="H535" i="1"/>
  <c r="O535" i="1" s="1"/>
  <c r="H534" i="1"/>
  <c r="O534" i="1" s="1"/>
  <c r="H533" i="1"/>
  <c r="O533" i="1" s="1"/>
  <c r="H532" i="1"/>
  <c r="O532" i="1" s="1"/>
  <c r="H531" i="1"/>
  <c r="O531" i="1" s="1"/>
  <c r="H530" i="1"/>
  <c r="O530" i="1" s="1"/>
  <c r="H529" i="1"/>
  <c r="O529" i="1" s="1"/>
  <c r="H528" i="1"/>
  <c r="O528" i="1" s="1"/>
  <c r="H527" i="1"/>
  <c r="O527" i="1" s="1"/>
  <c r="H526" i="1"/>
  <c r="O526" i="1" s="1"/>
  <c r="H525" i="1"/>
  <c r="O525" i="1" s="1"/>
  <c r="H524" i="1"/>
  <c r="O524" i="1" s="1"/>
  <c r="H523" i="1"/>
  <c r="O523" i="1" s="1"/>
  <c r="H522" i="1"/>
  <c r="O522" i="1" s="1"/>
  <c r="H521" i="1"/>
  <c r="O521" i="1" s="1"/>
  <c r="H520" i="1"/>
  <c r="O520" i="1" s="1"/>
  <c r="H519" i="1"/>
  <c r="O519" i="1" s="1"/>
  <c r="H518" i="1"/>
  <c r="O518" i="1" s="1"/>
  <c r="H517" i="1"/>
  <c r="O517" i="1" s="1"/>
  <c r="H516" i="1"/>
  <c r="O516" i="1" s="1"/>
  <c r="H515" i="1"/>
  <c r="O515" i="1" s="1"/>
  <c r="H514" i="1"/>
  <c r="O514" i="1" s="1"/>
  <c r="H513" i="1"/>
  <c r="O513" i="1" s="1"/>
  <c r="H512" i="1"/>
  <c r="O512" i="1" s="1"/>
  <c r="H511" i="1"/>
  <c r="O511" i="1" s="1"/>
  <c r="H510" i="1"/>
  <c r="O510" i="1" s="1"/>
  <c r="H509" i="1"/>
  <c r="O509" i="1" s="1"/>
  <c r="H508" i="1"/>
  <c r="O508" i="1" s="1"/>
  <c r="H507" i="1"/>
  <c r="O507" i="1" s="1"/>
  <c r="H506" i="1"/>
  <c r="O506" i="1" s="1"/>
  <c r="H505" i="1"/>
  <c r="O505" i="1" s="1"/>
  <c r="H504" i="1"/>
  <c r="O504" i="1" s="1"/>
  <c r="H503" i="1"/>
  <c r="O503" i="1" s="1"/>
  <c r="H502" i="1"/>
  <c r="O502" i="1" s="1"/>
  <c r="H501" i="1"/>
  <c r="O501" i="1" s="1"/>
  <c r="H500" i="1"/>
  <c r="O500" i="1" s="1"/>
  <c r="H499" i="1"/>
  <c r="O499" i="1" s="1"/>
  <c r="H498" i="1"/>
  <c r="O498" i="1" s="1"/>
  <c r="H497" i="1"/>
  <c r="O497" i="1" s="1"/>
  <c r="H496" i="1"/>
  <c r="O496" i="1" s="1"/>
  <c r="H495" i="1"/>
  <c r="O495" i="1" s="1"/>
  <c r="H494" i="1"/>
  <c r="O494" i="1" s="1"/>
  <c r="H493" i="1"/>
  <c r="O493" i="1" s="1"/>
  <c r="H492" i="1"/>
  <c r="O492" i="1" s="1"/>
  <c r="H491" i="1"/>
  <c r="O491" i="1" s="1"/>
  <c r="H490" i="1"/>
  <c r="O490" i="1" s="1"/>
  <c r="H489" i="1"/>
  <c r="O489" i="1" s="1"/>
  <c r="H488" i="1"/>
  <c r="O488" i="1" s="1"/>
  <c r="H487" i="1"/>
  <c r="O487" i="1" s="1"/>
  <c r="H486" i="1"/>
  <c r="O486" i="1" s="1"/>
  <c r="H485" i="1"/>
  <c r="O485" i="1" s="1"/>
  <c r="H484" i="1"/>
  <c r="O484" i="1" s="1"/>
  <c r="H483" i="1"/>
  <c r="O483" i="1" s="1"/>
  <c r="H482" i="1"/>
  <c r="O482" i="1" s="1"/>
  <c r="H481" i="1"/>
  <c r="O481" i="1" s="1"/>
  <c r="H480" i="1"/>
  <c r="O480" i="1" s="1"/>
  <c r="H479" i="1"/>
  <c r="O479" i="1" s="1"/>
  <c r="H478" i="1"/>
  <c r="O478" i="1" s="1"/>
  <c r="H477" i="1"/>
  <c r="O477" i="1" s="1"/>
  <c r="H476" i="1"/>
  <c r="O476" i="1" s="1"/>
  <c r="H475" i="1"/>
  <c r="O475" i="1" s="1"/>
  <c r="H474" i="1"/>
  <c r="O474" i="1" s="1"/>
  <c r="H473" i="1"/>
  <c r="O473" i="1" s="1"/>
  <c r="H472" i="1"/>
  <c r="O472" i="1" s="1"/>
  <c r="H471" i="1"/>
  <c r="O471" i="1" s="1"/>
  <c r="H470" i="1"/>
  <c r="O470" i="1" s="1"/>
  <c r="H469" i="1"/>
  <c r="O469" i="1" s="1"/>
  <c r="H468" i="1"/>
  <c r="O468" i="1" s="1"/>
  <c r="H467" i="1"/>
  <c r="H466" i="1"/>
  <c r="O466" i="1" s="1"/>
  <c r="H465" i="1"/>
  <c r="O465" i="1" s="1"/>
  <c r="H464" i="1"/>
  <c r="O464" i="1" s="1"/>
  <c r="H463" i="1"/>
  <c r="O463" i="1" s="1"/>
  <c r="H462" i="1"/>
  <c r="O462" i="1" s="1"/>
  <c r="H461" i="1"/>
  <c r="O461" i="1" s="1"/>
  <c r="H460" i="1"/>
  <c r="O460" i="1" s="1"/>
  <c r="H459" i="1"/>
  <c r="O459" i="1" s="1"/>
  <c r="H458" i="1"/>
  <c r="O458" i="1" s="1"/>
  <c r="H457" i="1"/>
  <c r="O457" i="1" s="1"/>
  <c r="H456" i="1"/>
  <c r="O456" i="1" s="1"/>
  <c r="H455" i="1"/>
  <c r="O455" i="1" s="1"/>
  <c r="H454" i="1"/>
  <c r="O454" i="1" s="1"/>
  <c r="H453" i="1"/>
  <c r="O453" i="1" s="1"/>
  <c r="H452" i="1"/>
  <c r="O452" i="1" s="1"/>
  <c r="H451" i="1"/>
  <c r="O451" i="1" s="1"/>
  <c r="H450" i="1"/>
  <c r="O450" i="1" s="1"/>
  <c r="H449" i="1"/>
  <c r="O449" i="1" s="1"/>
  <c r="H448" i="1"/>
  <c r="O448" i="1" s="1"/>
  <c r="H447" i="1"/>
  <c r="O447" i="1" s="1"/>
  <c r="H446" i="1"/>
  <c r="O446" i="1" s="1"/>
  <c r="H445" i="1"/>
  <c r="O445" i="1" s="1"/>
  <c r="H444" i="1"/>
  <c r="O444" i="1" s="1"/>
  <c r="H443" i="1"/>
  <c r="O443" i="1" s="1"/>
  <c r="H442" i="1"/>
  <c r="O442" i="1" s="1"/>
  <c r="H441" i="1"/>
  <c r="O441" i="1" s="1"/>
  <c r="H440" i="1"/>
  <c r="O440" i="1" s="1"/>
  <c r="H439" i="1"/>
  <c r="O439" i="1" s="1"/>
  <c r="H438" i="1"/>
  <c r="O438" i="1" s="1"/>
  <c r="H437" i="1"/>
  <c r="O437" i="1" s="1"/>
  <c r="H436" i="1"/>
  <c r="O436" i="1" s="1"/>
  <c r="H435" i="1"/>
  <c r="O435" i="1" s="1"/>
  <c r="H434" i="1"/>
  <c r="O434" i="1" s="1"/>
  <c r="H433" i="1"/>
  <c r="O433" i="1" s="1"/>
  <c r="H432" i="1"/>
  <c r="O432" i="1" s="1"/>
  <c r="H431" i="1"/>
  <c r="O431" i="1" s="1"/>
  <c r="H430" i="1"/>
  <c r="H429" i="1"/>
  <c r="O429" i="1" s="1"/>
  <c r="H428" i="1"/>
  <c r="O428" i="1" s="1"/>
  <c r="H427" i="1"/>
  <c r="O427" i="1" s="1"/>
  <c r="H426" i="1"/>
  <c r="O426" i="1" s="1"/>
  <c r="H425" i="1"/>
  <c r="O425" i="1" s="1"/>
  <c r="H424" i="1"/>
  <c r="O424" i="1" s="1"/>
  <c r="H423" i="1"/>
  <c r="O423" i="1" s="1"/>
  <c r="H422" i="1"/>
  <c r="O422" i="1" s="1"/>
  <c r="H421" i="1"/>
  <c r="O421" i="1" s="1"/>
  <c r="H420" i="1"/>
  <c r="O420" i="1" s="1"/>
  <c r="H419" i="1"/>
  <c r="O419" i="1" s="1"/>
  <c r="H418" i="1"/>
  <c r="O418" i="1" s="1"/>
  <c r="H417" i="1"/>
  <c r="O417" i="1" s="1"/>
  <c r="H416" i="1"/>
  <c r="O416" i="1" s="1"/>
  <c r="H415" i="1"/>
  <c r="O415" i="1" s="1"/>
  <c r="H414" i="1"/>
  <c r="O414" i="1" s="1"/>
  <c r="H413" i="1"/>
  <c r="O413" i="1" s="1"/>
  <c r="H412" i="1"/>
  <c r="O412" i="1" s="1"/>
  <c r="H411" i="1"/>
  <c r="O411" i="1" s="1"/>
  <c r="H410" i="1"/>
  <c r="O410" i="1" s="1"/>
  <c r="H409" i="1"/>
  <c r="O409" i="1" s="1"/>
  <c r="H408" i="1"/>
  <c r="O408" i="1" s="1"/>
  <c r="H407" i="1"/>
  <c r="O407" i="1" s="1"/>
  <c r="H406" i="1"/>
  <c r="O406" i="1" s="1"/>
  <c r="H405" i="1"/>
  <c r="O405" i="1" s="1"/>
  <c r="H403" i="1"/>
  <c r="O403" i="1" s="1"/>
  <c r="H402" i="1"/>
  <c r="O402" i="1" s="1"/>
  <c r="H401" i="1"/>
  <c r="O401" i="1" s="1"/>
  <c r="H400" i="1"/>
  <c r="O400" i="1" s="1"/>
  <c r="H399" i="1"/>
  <c r="O399" i="1" s="1"/>
  <c r="H398" i="1"/>
  <c r="O398" i="1" s="1"/>
  <c r="H397" i="1"/>
  <c r="O397" i="1" s="1"/>
  <c r="H396" i="1"/>
  <c r="O396" i="1" s="1"/>
  <c r="H395" i="1"/>
  <c r="O395" i="1" s="1"/>
  <c r="H394" i="1"/>
  <c r="O394" i="1" s="1"/>
  <c r="H393" i="1"/>
  <c r="O393" i="1" s="1"/>
  <c r="H392" i="1"/>
  <c r="O392" i="1" s="1"/>
  <c r="H391" i="1"/>
  <c r="O391" i="1" s="1"/>
  <c r="H390" i="1"/>
  <c r="O390" i="1" s="1"/>
  <c r="H389" i="1"/>
  <c r="O389" i="1" s="1"/>
  <c r="H388" i="1"/>
  <c r="O388" i="1" s="1"/>
  <c r="H387" i="1"/>
  <c r="O387" i="1" s="1"/>
  <c r="H386" i="1"/>
  <c r="O386" i="1" s="1"/>
  <c r="H385" i="1"/>
  <c r="O385" i="1" s="1"/>
  <c r="H384" i="1"/>
  <c r="O384" i="1" s="1"/>
  <c r="H383" i="1"/>
  <c r="O383" i="1" s="1"/>
  <c r="H382" i="1"/>
  <c r="O382" i="1" s="1"/>
  <c r="H381" i="1"/>
  <c r="O381" i="1" s="1"/>
  <c r="H380" i="1"/>
  <c r="O380" i="1" s="1"/>
  <c r="H379" i="1"/>
  <c r="O379" i="1" s="1"/>
  <c r="H378" i="1"/>
  <c r="O378" i="1" s="1"/>
  <c r="H377" i="1"/>
  <c r="O377" i="1" s="1"/>
  <c r="H376" i="1"/>
  <c r="O376" i="1" s="1"/>
  <c r="H375" i="1"/>
  <c r="O375" i="1" s="1"/>
  <c r="H374" i="1"/>
  <c r="O374" i="1" s="1"/>
  <c r="H373" i="1"/>
  <c r="O373" i="1" s="1"/>
  <c r="H372" i="1"/>
  <c r="O372" i="1" s="1"/>
  <c r="H371" i="1"/>
  <c r="O371" i="1" s="1"/>
  <c r="H370" i="1"/>
  <c r="O370" i="1" s="1"/>
  <c r="H369" i="1"/>
  <c r="O369" i="1" s="1"/>
  <c r="H368" i="1"/>
  <c r="O368" i="1" s="1"/>
  <c r="H367" i="1"/>
  <c r="O367" i="1" s="1"/>
  <c r="H366" i="1"/>
  <c r="O366" i="1" s="1"/>
  <c r="H364" i="1"/>
  <c r="O364" i="1" s="1"/>
  <c r="H363" i="1"/>
  <c r="O363" i="1" s="1"/>
  <c r="H362" i="1"/>
  <c r="O362" i="1" s="1"/>
  <c r="H361" i="1"/>
  <c r="O361" i="1" s="1"/>
  <c r="H360" i="1"/>
  <c r="O360" i="1" s="1"/>
  <c r="H359" i="1"/>
  <c r="O359" i="1" s="1"/>
  <c r="H358" i="1"/>
  <c r="O358" i="1" s="1"/>
  <c r="H357" i="1"/>
  <c r="O357" i="1" s="1"/>
  <c r="H356" i="1"/>
  <c r="O356" i="1" s="1"/>
  <c r="H355" i="1"/>
  <c r="O355" i="1" s="1"/>
  <c r="H354" i="1"/>
  <c r="O354" i="1" s="1"/>
  <c r="H353" i="1"/>
  <c r="O353" i="1" s="1"/>
  <c r="H352" i="1"/>
  <c r="O352" i="1" s="1"/>
  <c r="H351" i="1"/>
  <c r="O351" i="1" s="1"/>
  <c r="H350" i="1"/>
  <c r="O350" i="1" s="1"/>
  <c r="H349" i="1"/>
  <c r="O349" i="1" s="1"/>
  <c r="H348" i="1"/>
  <c r="O348" i="1" s="1"/>
  <c r="H347" i="1"/>
  <c r="O347" i="1" s="1"/>
  <c r="H346" i="1"/>
  <c r="O346" i="1" s="1"/>
  <c r="H345" i="1"/>
  <c r="O345" i="1" s="1"/>
  <c r="H344" i="1"/>
  <c r="O344" i="1" s="1"/>
  <c r="H343" i="1"/>
  <c r="O343" i="1" s="1"/>
  <c r="H342" i="1"/>
  <c r="O342" i="1" s="1"/>
  <c r="H341" i="1"/>
  <c r="O341" i="1" s="1"/>
  <c r="H340" i="1"/>
  <c r="O340" i="1" s="1"/>
  <c r="H339" i="1"/>
  <c r="O339" i="1" s="1"/>
  <c r="H338" i="1"/>
  <c r="O338" i="1" s="1"/>
  <c r="H337" i="1"/>
  <c r="H335" i="1"/>
  <c r="O335" i="1" s="1"/>
  <c r="H334" i="1"/>
  <c r="O334" i="1" s="1"/>
  <c r="H333" i="1"/>
  <c r="O333" i="1" s="1"/>
  <c r="H332" i="1"/>
  <c r="O332" i="1" s="1"/>
  <c r="H331" i="1"/>
  <c r="O331" i="1" s="1"/>
  <c r="H330" i="1"/>
  <c r="O330" i="1" s="1"/>
  <c r="H329" i="1"/>
  <c r="O329" i="1" s="1"/>
  <c r="H328" i="1"/>
  <c r="O328" i="1" s="1"/>
  <c r="H327" i="1"/>
  <c r="O327" i="1" s="1"/>
  <c r="H326" i="1"/>
  <c r="O326" i="1" s="1"/>
  <c r="H325" i="1"/>
  <c r="O325" i="1" s="1"/>
  <c r="H324" i="1"/>
  <c r="O324" i="1" s="1"/>
  <c r="H323" i="1"/>
  <c r="O323" i="1" s="1"/>
  <c r="H322" i="1"/>
  <c r="O322" i="1" s="1"/>
  <c r="H321" i="1"/>
  <c r="O321" i="1" s="1"/>
  <c r="H320" i="1"/>
  <c r="O320" i="1" s="1"/>
  <c r="H319" i="1"/>
  <c r="O319" i="1" s="1"/>
  <c r="H318" i="1"/>
  <c r="O318" i="1" s="1"/>
  <c r="H317" i="1"/>
  <c r="O317" i="1" s="1"/>
  <c r="H316" i="1"/>
  <c r="O316" i="1" s="1"/>
  <c r="H315" i="1"/>
  <c r="O315" i="1" s="1"/>
  <c r="H314" i="1"/>
  <c r="O314" i="1" s="1"/>
  <c r="H313" i="1"/>
  <c r="O313" i="1" s="1"/>
  <c r="H312" i="1"/>
  <c r="O312" i="1" s="1"/>
  <c r="H311" i="1"/>
  <c r="O311" i="1" s="1"/>
  <c r="H310" i="1"/>
  <c r="O310" i="1" s="1"/>
  <c r="H308" i="1"/>
  <c r="O308" i="1" s="1"/>
  <c r="H307" i="1"/>
  <c r="O307" i="1" s="1"/>
  <c r="H306" i="1"/>
  <c r="O306" i="1" s="1"/>
  <c r="H305" i="1"/>
  <c r="O305" i="1" s="1"/>
  <c r="H304" i="1"/>
  <c r="O304" i="1" s="1"/>
  <c r="H303" i="1"/>
  <c r="O303" i="1" s="1"/>
  <c r="H302" i="1"/>
  <c r="O302" i="1" s="1"/>
  <c r="H301" i="1"/>
  <c r="O301" i="1" s="1"/>
  <c r="H300" i="1"/>
  <c r="O300" i="1" s="1"/>
  <c r="H299" i="1"/>
  <c r="O299" i="1" s="1"/>
  <c r="H298" i="1"/>
  <c r="O298" i="1" s="1"/>
  <c r="H297" i="1"/>
  <c r="O297" i="1" s="1"/>
  <c r="H296" i="1"/>
  <c r="O296" i="1" s="1"/>
  <c r="H295" i="1"/>
  <c r="O295" i="1" s="1"/>
  <c r="H294" i="1"/>
  <c r="O294" i="1" s="1"/>
  <c r="H293" i="1"/>
  <c r="O293" i="1" s="1"/>
  <c r="H292" i="1"/>
  <c r="O292" i="1" s="1"/>
  <c r="H291" i="1"/>
  <c r="O291" i="1" s="1"/>
  <c r="H290" i="1"/>
  <c r="O290" i="1" s="1"/>
  <c r="H289" i="1"/>
  <c r="O289" i="1" s="1"/>
  <c r="H288" i="1"/>
  <c r="O288" i="1" s="1"/>
  <c r="H287" i="1"/>
  <c r="O287" i="1" s="1"/>
  <c r="H286" i="1"/>
  <c r="O286" i="1" s="1"/>
  <c r="H285" i="1"/>
  <c r="O285" i="1" s="1"/>
  <c r="H284" i="1"/>
  <c r="O284" i="1" s="1"/>
  <c r="H283" i="1"/>
  <c r="O283" i="1" s="1"/>
  <c r="H282" i="1"/>
  <c r="O282" i="1" s="1"/>
  <c r="H281" i="1"/>
  <c r="O281" i="1" s="1"/>
  <c r="H280" i="1"/>
  <c r="O280" i="1" s="1"/>
  <c r="H279" i="1"/>
  <c r="O279" i="1" s="1"/>
  <c r="H278" i="1"/>
  <c r="O278" i="1" s="1"/>
  <c r="H277" i="1"/>
  <c r="O277" i="1" s="1"/>
  <c r="H276" i="1"/>
  <c r="O276" i="1" s="1"/>
  <c r="H275" i="1"/>
  <c r="O275" i="1" s="1"/>
  <c r="H274" i="1"/>
  <c r="O274" i="1" s="1"/>
  <c r="H273" i="1"/>
  <c r="O273" i="1" s="1"/>
  <c r="H272" i="1"/>
  <c r="O272" i="1" s="1"/>
  <c r="H271" i="1"/>
  <c r="O271" i="1" s="1"/>
  <c r="H270" i="1"/>
  <c r="O270" i="1" s="1"/>
  <c r="H269" i="1"/>
  <c r="O269" i="1" s="1"/>
  <c r="H268" i="1"/>
  <c r="O268" i="1" s="1"/>
  <c r="H267" i="1"/>
  <c r="O267" i="1" s="1"/>
  <c r="H266" i="1"/>
  <c r="O266" i="1" s="1"/>
  <c r="H265" i="1"/>
  <c r="O265" i="1" s="1"/>
  <c r="H264" i="1"/>
  <c r="O264" i="1" s="1"/>
  <c r="H263" i="1"/>
  <c r="O263" i="1" s="1"/>
  <c r="H262" i="1"/>
  <c r="O262" i="1" s="1"/>
  <c r="H261" i="1"/>
  <c r="O261" i="1" s="1"/>
  <c r="H260" i="1"/>
  <c r="O260" i="1" s="1"/>
  <c r="H259" i="1"/>
  <c r="H258" i="1"/>
  <c r="O258" i="1" s="1"/>
  <c r="H257" i="1"/>
  <c r="O257" i="1" s="1"/>
  <c r="H256" i="1"/>
  <c r="O256" i="1" s="1"/>
  <c r="H255" i="1"/>
  <c r="O255" i="1" s="1"/>
  <c r="H254" i="1"/>
  <c r="O254" i="1" s="1"/>
  <c r="H253" i="1"/>
  <c r="O253" i="1" s="1"/>
  <c r="H252" i="1"/>
  <c r="O252" i="1" s="1"/>
  <c r="H251" i="1"/>
  <c r="O251" i="1" s="1"/>
  <c r="H250" i="1"/>
  <c r="O250" i="1" s="1"/>
  <c r="H249" i="1"/>
  <c r="O249" i="1" s="1"/>
  <c r="H248" i="1"/>
  <c r="O248" i="1" s="1"/>
  <c r="H247" i="1"/>
  <c r="O247" i="1" s="1"/>
  <c r="H246" i="1"/>
  <c r="O246" i="1" s="1"/>
  <c r="H245" i="1"/>
  <c r="O245" i="1" s="1"/>
  <c r="H244" i="1"/>
  <c r="O244" i="1" s="1"/>
  <c r="H243" i="1"/>
  <c r="O243" i="1" s="1"/>
  <c r="H242" i="1"/>
  <c r="O242" i="1" s="1"/>
  <c r="H241" i="1"/>
  <c r="O241" i="1" s="1"/>
  <c r="H240" i="1"/>
  <c r="O240" i="1" s="1"/>
  <c r="H239" i="1"/>
  <c r="O239" i="1" s="1"/>
  <c r="H238" i="1"/>
  <c r="O238" i="1" s="1"/>
  <c r="H237" i="1"/>
  <c r="O237" i="1" s="1"/>
  <c r="H236" i="1"/>
  <c r="O236" i="1" s="1"/>
  <c r="H235" i="1"/>
  <c r="O235" i="1" s="1"/>
  <c r="H233" i="1"/>
  <c r="O233" i="1" s="1"/>
  <c r="H232" i="1"/>
  <c r="O232" i="1" s="1"/>
  <c r="H231" i="1"/>
  <c r="O231" i="1" s="1"/>
  <c r="H230" i="1"/>
  <c r="O230" i="1" s="1"/>
  <c r="H229" i="1"/>
  <c r="O229" i="1" s="1"/>
  <c r="H228" i="1"/>
  <c r="O228" i="1" s="1"/>
  <c r="H227" i="1"/>
  <c r="O227" i="1" s="1"/>
  <c r="H226" i="1"/>
  <c r="O226" i="1" s="1"/>
  <c r="H225" i="1"/>
  <c r="O225" i="1" s="1"/>
  <c r="H224" i="1"/>
  <c r="O224" i="1" s="1"/>
  <c r="H223" i="1"/>
  <c r="O223" i="1" s="1"/>
  <c r="H222" i="1"/>
  <c r="O222" i="1" s="1"/>
  <c r="H221" i="1"/>
  <c r="O221" i="1" s="1"/>
  <c r="H220" i="1"/>
  <c r="O220" i="1" s="1"/>
  <c r="H219" i="1"/>
  <c r="O219" i="1" s="1"/>
  <c r="H218" i="1"/>
  <c r="O218" i="1" s="1"/>
  <c r="H217" i="1"/>
  <c r="O217" i="1" s="1"/>
  <c r="H216" i="1"/>
  <c r="O216" i="1" s="1"/>
  <c r="H215" i="1"/>
  <c r="O215" i="1" s="1"/>
  <c r="H214" i="1"/>
  <c r="O214" i="1" s="1"/>
  <c r="H213" i="1"/>
  <c r="O213" i="1" s="1"/>
  <c r="H212" i="1"/>
  <c r="O212" i="1" s="1"/>
  <c r="H211" i="1"/>
  <c r="O211" i="1" s="1"/>
  <c r="H210" i="1"/>
  <c r="O210" i="1" s="1"/>
  <c r="H209" i="1"/>
  <c r="O209" i="1" s="1"/>
  <c r="H208" i="1"/>
  <c r="O208" i="1" s="1"/>
  <c r="H207" i="1"/>
  <c r="O207" i="1" s="1"/>
  <c r="H206" i="1"/>
  <c r="O206" i="1" s="1"/>
  <c r="H205" i="1"/>
  <c r="O205" i="1" s="1"/>
  <c r="H204" i="1"/>
  <c r="O204" i="1" s="1"/>
  <c r="H203" i="1"/>
  <c r="O203" i="1" s="1"/>
  <c r="H202" i="1"/>
  <c r="O202" i="1" s="1"/>
  <c r="H201" i="1"/>
  <c r="O201" i="1" s="1"/>
  <c r="H200" i="1"/>
  <c r="O200" i="1" s="1"/>
  <c r="H199" i="1"/>
  <c r="O199" i="1" s="1"/>
  <c r="H198" i="1"/>
  <c r="O198" i="1" s="1"/>
  <c r="H197" i="1"/>
  <c r="O197" i="1" s="1"/>
  <c r="H196" i="1"/>
  <c r="O196" i="1" s="1"/>
  <c r="H195" i="1"/>
  <c r="O195" i="1" s="1"/>
  <c r="H194" i="1"/>
  <c r="H193" i="1"/>
  <c r="O193" i="1" s="1"/>
  <c r="H192" i="1"/>
  <c r="O192" i="1" s="1"/>
  <c r="H191" i="1"/>
  <c r="O191" i="1" s="1"/>
  <c r="H190" i="1"/>
  <c r="O190" i="1" s="1"/>
  <c r="H189" i="1"/>
  <c r="O189" i="1" s="1"/>
  <c r="H188" i="1"/>
  <c r="O188" i="1" s="1"/>
  <c r="H187" i="1"/>
  <c r="O187" i="1" s="1"/>
  <c r="H186" i="1"/>
  <c r="O186" i="1" s="1"/>
  <c r="H185" i="1"/>
  <c r="O185" i="1" s="1"/>
  <c r="H184" i="1"/>
  <c r="O184" i="1" s="1"/>
  <c r="H183" i="1"/>
  <c r="O183" i="1" s="1"/>
  <c r="H182" i="1"/>
  <c r="O182" i="1" s="1"/>
  <c r="H181" i="1"/>
  <c r="O181" i="1" s="1"/>
  <c r="H180" i="1"/>
  <c r="O180" i="1" s="1"/>
  <c r="H179" i="1"/>
  <c r="O179" i="1" s="1"/>
  <c r="H178" i="1"/>
  <c r="O178" i="1" s="1"/>
  <c r="H177" i="1"/>
  <c r="O177" i="1" s="1"/>
  <c r="H176" i="1"/>
  <c r="O176" i="1" s="1"/>
  <c r="H175" i="1"/>
  <c r="O175" i="1" s="1"/>
  <c r="H174" i="1"/>
  <c r="O174" i="1" s="1"/>
  <c r="H173" i="1"/>
  <c r="O173" i="1" s="1"/>
  <c r="H172" i="1"/>
  <c r="O172" i="1" s="1"/>
  <c r="H171" i="1"/>
  <c r="O171" i="1" s="1"/>
  <c r="H170" i="1"/>
  <c r="O170" i="1" s="1"/>
  <c r="H169" i="1"/>
  <c r="O169" i="1" s="1"/>
  <c r="H168" i="1"/>
  <c r="O168" i="1" s="1"/>
  <c r="H167" i="1"/>
  <c r="O167" i="1" s="1"/>
  <c r="H166" i="1"/>
  <c r="O166" i="1" s="1"/>
  <c r="H165" i="1"/>
  <c r="O165" i="1" s="1"/>
  <c r="H164" i="1"/>
  <c r="O164" i="1" s="1"/>
  <c r="H163" i="1"/>
  <c r="O163" i="1" s="1"/>
  <c r="H162" i="1"/>
  <c r="O162" i="1" s="1"/>
  <c r="H161" i="1"/>
  <c r="O161" i="1" s="1"/>
  <c r="H160" i="1"/>
  <c r="O160" i="1" s="1"/>
  <c r="H159" i="1"/>
  <c r="O159" i="1" s="1"/>
  <c r="H158" i="1"/>
  <c r="O158" i="1" s="1"/>
  <c r="H157" i="1"/>
  <c r="O157" i="1" s="1"/>
  <c r="H156" i="1"/>
  <c r="O156" i="1" s="1"/>
  <c r="H155" i="1"/>
  <c r="O155" i="1" s="1"/>
  <c r="H154" i="1"/>
  <c r="O154" i="1" s="1"/>
  <c r="H153" i="1"/>
  <c r="O153" i="1" s="1"/>
  <c r="H152" i="1"/>
  <c r="O152" i="1" s="1"/>
  <c r="H151" i="1"/>
  <c r="O151" i="1" s="1"/>
  <c r="H150" i="1"/>
  <c r="O150" i="1" s="1"/>
  <c r="H149" i="1"/>
  <c r="O149" i="1" s="1"/>
  <c r="H148" i="1"/>
  <c r="O148" i="1" s="1"/>
  <c r="H147" i="1"/>
  <c r="O147" i="1" s="1"/>
  <c r="H146" i="1"/>
  <c r="O146" i="1" s="1"/>
  <c r="H145" i="1"/>
  <c r="O145" i="1" s="1"/>
  <c r="H144" i="1"/>
  <c r="O144" i="1" s="1"/>
  <c r="H143" i="1"/>
  <c r="O143" i="1" s="1"/>
  <c r="H142" i="1"/>
  <c r="O142" i="1" s="1"/>
  <c r="H141" i="1"/>
  <c r="O141" i="1" s="1"/>
  <c r="H140" i="1"/>
  <c r="O140" i="1" s="1"/>
  <c r="H139" i="1"/>
  <c r="O139" i="1" s="1"/>
  <c r="H138" i="1"/>
  <c r="O138" i="1" s="1"/>
  <c r="H137" i="1"/>
  <c r="O137" i="1" s="1"/>
  <c r="H136" i="1"/>
  <c r="O136" i="1" s="1"/>
  <c r="H135" i="1"/>
  <c r="O135" i="1" s="1"/>
  <c r="H134" i="1"/>
  <c r="O134" i="1" s="1"/>
  <c r="H133" i="1"/>
  <c r="O133" i="1" s="1"/>
  <c r="H132" i="1"/>
  <c r="O132" i="1" s="1"/>
  <c r="H131" i="1"/>
  <c r="O131" i="1" s="1"/>
  <c r="H130" i="1"/>
  <c r="H129" i="1"/>
  <c r="O129" i="1" s="1"/>
  <c r="H128" i="1"/>
  <c r="O128" i="1" s="1"/>
  <c r="H127" i="1"/>
  <c r="O127" i="1" s="1"/>
  <c r="H126" i="1"/>
  <c r="O126" i="1" s="1"/>
  <c r="H125" i="1"/>
  <c r="O125" i="1" s="1"/>
  <c r="H124" i="1"/>
  <c r="O124" i="1" s="1"/>
  <c r="H123" i="1"/>
  <c r="O123" i="1" s="1"/>
  <c r="H122" i="1"/>
  <c r="O122" i="1" s="1"/>
  <c r="H121" i="1"/>
  <c r="O121" i="1" s="1"/>
  <c r="H120" i="1"/>
  <c r="O120" i="1" s="1"/>
  <c r="H119" i="1"/>
  <c r="O119" i="1" s="1"/>
  <c r="H118" i="1"/>
  <c r="O118" i="1" s="1"/>
  <c r="H117" i="1"/>
  <c r="O117" i="1" s="1"/>
  <c r="H116" i="1"/>
  <c r="O116" i="1" s="1"/>
  <c r="H115" i="1"/>
  <c r="O115" i="1" s="1"/>
  <c r="H114" i="1"/>
  <c r="O114" i="1" s="1"/>
  <c r="H113" i="1"/>
  <c r="O113" i="1" s="1"/>
  <c r="H112" i="1"/>
  <c r="O112" i="1" s="1"/>
  <c r="H111" i="1"/>
  <c r="O111" i="1" s="1"/>
  <c r="H110" i="1"/>
  <c r="O110" i="1" s="1"/>
  <c r="H109" i="1"/>
  <c r="O109" i="1" s="1"/>
  <c r="H108" i="1"/>
  <c r="O108" i="1" s="1"/>
  <c r="H106" i="1"/>
  <c r="O106" i="1" s="1"/>
  <c r="H105" i="1"/>
  <c r="O105" i="1" s="1"/>
  <c r="H104" i="1"/>
  <c r="O104" i="1" s="1"/>
  <c r="H103" i="1"/>
  <c r="O103" i="1" s="1"/>
  <c r="H102" i="1"/>
  <c r="O102" i="1" s="1"/>
  <c r="H101" i="1"/>
  <c r="O101" i="1" s="1"/>
  <c r="H100" i="1"/>
  <c r="O100" i="1" s="1"/>
  <c r="H99" i="1"/>
  <c r="O99" i="1" s="1"/>
  <c r="H98" i="1"/>
  <c r="O98" i="1" s="1"/>
  <c r="H97" i="1"/>
  <c r="O97" i="1" s="1"/>
  <c r="H96" i="1"/>
  <c r="O96" i="1" s="1"/>
  <c r="H95" i="1"/>
  <c r="O95" i="1" s="1"/>
  <c r="H94" i="1"/>
  <c r="O94" i="1" s="1"/>
  <c r="H93" i="1"/>
  <c r="O93" i="1" s="1"/>
  <c r="H92" i="1"/>
  <c r="O92" i="1" s="1"/>
  <c r="H91" i="1"/>
  <c r="O91" i="1" s="1"/>
  <c r="H90" i="1"/>
  <c r="O90" i="1" s="1"/>
  <c r="H89" i="1"/>
  <c r="O89" i="1" s="1"/>
  <c r="H88" i="1"/>
  <c r="O88" i="1" s="1"/>
  <c r="H87" i="1"/>
  <c r="O87" i="1" s="1"/>
  <c r="H86" i="1"/>
  <c r="O86" i="1" s="1"/>
  <c r="H85" i="1"/>
  <c r="O85" i="1" s="1"/>
  <c r="H84" i="1"/>
  <c r="O84" i="1" s="1"/>
  <c r="H83" i="1"/>
  <c r="O83" i="1" s="1"/>
  <c r="H82" i="1"/>
  <c r="O82" i="1" s="1"/>
  <c r="H81" i="1"/>
  <c r="O81" i="1" s="1"/>
  <c r="H80" i="1"/>
  <c r="O80" i="1" s="1"/>
  <c r="H79" i="1"/>
  <c r="O79" i="1" s="1"/>
  <c r="H78" i="1"/>
  <c r="O78" i="1" s="1"/>
  <c r="H77" i="1"/>
  <c r="O77" i="1" s="1"/>
  <c r="H76" i="1"/>
  <c r="O76" i="1" s="1"/>
  <c r="H75" i="1"/>
  <c r="O75" i="1" s="1"/>
  <c r="H74" i="1"/>
  <c r="O74" i="1" s="1"/>
  <c r="H73" i="1"/>
  <c r="O73" i="1" s="1"/>
  <c r="H72" i="1"/>
  <c r="O72" i="1" s="1"/>
  <c r="H71" i="1"/>
  <c r="O71" i="1" s="1"/>
  <c r="H70" i="1"/>
  <c r="O70" i="1" s="1"/>
  <c r="H69" i="1"/>
  <c r="O69" i="1" s="1"/>
  <c r="H68" i="1"/>
  <c r="O68" i="1" s="1"/>
  <c r="H67" i="1"/>
  <c r="O67" i="1" s="1"/>
  <c r="H66" i="1"/>
  <c r="O66" i="1" s="1"/>
  <c r="H65" i="1"/>
  <c r="H64" i="1"/>
  <c r="O64" i="1" s="1"/>
  <c r="H63" i="1"/>
  <c r="O63" i="1" s="1"/>
  <c r="H62" i="1"/>
  <c r="O62" i="1" s="1"/>
  <c r="H61" i="1"/>
  <c r="O61" i="1" s="1"/>
  <c r="H60" i="1"/>
  <c r="O60" i="1" s="1"/>
  <c r="H59" i="1"/>
  <c r="O59" i="1" s="1"/>
  <c r="H58" i="1"/>
  <c r="O58" i="1" s="1"/>
  <c r="H57" i="1"/>
  <c r="O57" i="1" s="1"/>
  <c r="H56" i="1"/>
  <c r="O56" i="1" s="1"/>
  <c r="H55" i="1"/>
  <c r="O55" i="1" s="1"/>
  <c r="H54" i="1"/>
  <c r="O54" i="1" s="1"/>
  <c r="H53" i="1"/>
  <c r="O53" i="1" s="1"/>
  <c r="H52" i="1"/>
  <c r="O52" i="1" s="1"/>
  <c r="H51" i="1"/>
  <c r="O51" i="1" s="1"/>
  <c r="H50" i="1"/>
  <c r="O50" i="1" s="1"/>
  <c r="H49" i="1"/>
  <c r="O49" i="1" s="1"/>
  <c r="H48" i="1"/>
  <c r="O48" i="1" s="1"/>
  <c r="H47" i="1"/>
  <c r="O47" i="1" s="1"/>
  <c r="H46" i="1"/>
  <c r="O46" i="1" s="1"/>
  <c r="H45" i="1"/>
  <c r="O45" i="1" s="1"/>
  <c r="H44" i="1"/>
  <c r="O44" i="1" s="1"/>
  <c r="H43" i="1"/>
  <c r="O43" i="1" s="1"/>
  <c r="H42" i="1"/>
  <c r="O42" i="1" s="1"/>
  <c r="H41" i="1"/>
  <c r="O41" i="1" s="1"/>
  <c r="H40" i="1"/>
  <c r="O40" i="1" s="1"/>
  <c r="H39" i="1"/>
  <c r="O39" i="1" s="1"/>
  <c r="H38" i="1"/>
  <c r="O38" i="1" s="1"/>
  <c r="H37" i="1"/>
  <c r="O37" i="1" s="1"/>
  <c r="H36" i="1"/>
  <c r="O36" i="1" s="1"/>
  <c r="H35" i="1"/>
  <c r="O35" i="1" s="1"/>
  <c r="H34" i="1"/>
  <c r="O34" i="1" s="1"/>
  <c r="H33" i="1"/>
  <c r="O33" i="1" s="1"/>
  <c r="H32" i="1"/>
  <c r="O32" i="1" s="1"/>
  <c r="H31" i="1"/>
  <c r="O31" i="1" s="1"/>
  <c r="H30" i="1"/>
  <c r="O30" i="1" s="1"/>
  <c r="H29" i="1"/>
  <c r="O29" i="1" s="1"/>
  <c r="H28" i="1"/>
  <c r="O28" i="1" s="1"/>
  <c r="H27" i="1"/>
  <c r="O27" i="1" s="1"/>
  <c r="H26" i="1"/>
  <c r="O26" i="1" s="1"/>
  <c r="H25" i="1"/>
  <c r="O25" i="1" s="1"/>
  <c r="H24" i="1"/>
  <c r="O24" i="1" s="1"/>
  <c r="H23" i="1"/>
  <c r="O23" i="1" s="1"/>
  <c r="H22" i="1"/>
  <c r="O22" i="1" s="1"/>
  <c r="H21" i="1"/>
  <c r="O21" i="1" s="1"/>
  <c r="H20" i="1"/>
  <c r="O20" i="1" s="1"/>
  <c r="H19" i="1"/>
  <c r="O19" i="1" s="1"/>
  <c r="H18" i="1"/>
  <c r="O18" i="1" s="1"/>
  <c r="H17" i="1"/>
  <c r="O17" i="1" s="1"/>
  <c r="H16" i="1"/>
  <c r="O16" i="1" s="1"/>
  <c r="H15" i="1"/>
  <c r="O15" i="1" s="1"/>
  <c r="H14" i="1"/>
  <c r="O14" i="1" s="1"/>
  <c r="H13" i="1"/>
  <c r="O13" i="1" s="1"/>
  <c r="H12" i="1"/>
  <c r="O12" i="1" s="1"/>
  <c r="H11" i="1"/>
  <c r="O11" i="1" s="1"/>
  <c r="H10" i="1"/>
  <c r="O10" i="1" s="1"/>
  <c r="H9" i="1"/>
  <c r="O9" i="1" s="1"/>
  <c r="H8" i="1"/>
  <c r="O8" i="1" s="1"/>
  <c r="H7" i="1"/>
  <c r="O7" i="1" s="1"/>
  <c r="H6" i="1"/>
  <c r="O6" i="1" s="1"/>
  <c r="H5" i="1"/>
  <c r="O5" i="1" s="1"/>
  <c r="H4" i="1"/>
  <c r="O4" i="1" s="1"/>
  <c r="H3" i="1"/>
  <c r="O3" i="1" s="1"/>
  <c r="H2" i="1"/>
  <c r="O2" i="1" s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3" i="1"/>
  <c r="I712" i="1"/>
  <c r="I711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D991" i="1"/>
  <c r="D990" i="1"/>
  <c r="D989" i="1"/>
  <c r="D988" i="1"/>
  <c r="D65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823" i="1"/>
  <c r="D962" i="1"/>
  <c r="D961" i="1"/>
  <c r="D960" i="1"/>
  <c r="D959" i="1"/>
  <c r="D958" i="1"/>
  <c r="D74" i="1"/>
  <c r="D957" i="1"/>
  <c r="D956" i="1"/>
  <c r="D955" i="1"/>
  <c r="D954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909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327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22" i="1"/>
  <c r="D834" i="1"/>
  <c r="D833" i="1"/>
  <c r="D832" i="1"/>
  <c r="D831" i="1"/>
  <c r="D830" i="1"/>
  <c r="D829" i="1"/>
  <c r="D828" i="1"/>
  <c r="D827" i="1"/>
  <c r="D821" i="1"/>
  <c r="D820" i="1"/>
  <c r="D657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908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149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3" i="1"/>
  <c r="D712" i="1"/>
  <c r="D711" i="1"/>
  <c r="D709" i="1"/>
  <c r="D708" i="1"/>
  <c r="D707" i="1"/>
  <c r="D706" i="1"/>
  <c r="D705" i="1"/>
  <c r="D704" i="1"/>
  <c r="D656" i="1"/>
  <c r="D703" i="1"/>
  <c r="D702" i="1"/>
  <c r="D655" i="1"/>
  <c r="D701" i="1"/>
  <c r="D700" i="1"/>
  <c r="D699" i="1"/>
  <c r="D698" i="1"/>
  <c r="D697" i="1"/>
  <c r="D696" i="1"/>
  <c r="D694" i="1"/>
  <c r="D693" i="1"/>
  <c r="D692" i="1"/>
  <c r="D691" i="1"/>
  <c r="D690" i="1"/>
  <c r="D654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53" i="1"/>
  <c r="D652" i="1"/>
  <c r="D651" i="1"/>
  <c r="D650" i="1"/>
  <c r="D649" i="1"/>
  <c r="D648" i="1"/>
  <c r="D647" i="1"/>
  <c r="D646" i="1"/>
  <c r="D82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825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0" i="1"/>
  <c r="D589" i="1"/>
  <c r="D588" i="1"/>
  <c r="D587" i="1"/>
  <c r="D586" i="1"/>
  <c r="D585" i="1"/>
  <c r="D584" i="1"/>
  <c r="D583" i="1"/>
  <c r="D582" i="1"/>
  <c r="D581" i="1"/>
  <c r="D73" i="1"/>
  <c r="D580" i="1"/>
  <c r="D579" i="1"/>
  <c r="D72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71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907" i="1"/>
  <c r="D540" i="1"/>
  <c r="D539" i="1"/>
  <c r="D906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663" i="1"/>
  <c r="D485" i="1"/>
  <c r="D484" i="1"/>
  <c r="D483" i="1"/>
  <c r="D482" i="1"/>
  <c r="D481" i="1"/>
  <c r="D480" i="1"/>
  <c r="D479" i="1"/>
  <c r="D478" i="1"/>
  <c r="D477" i="1"/>
  <c r="D326" i="1"/>
  <c r="D476" i="1"/>
  <c r="D475" i="1"/>
  <c r="D474" i="1"/>
  <c r="D473" i="1"/>
  <c r="D472" i="1"/>
  <c r="D471" i="1"/>
  <c r="D470" i="1"/>
  <c r="D469" i="1"/>
  <c r="D468" i="1"/>
  <c r="D467" i="1"/>
  <c r="D466" i="1"/>
  <c r="D905" i="1"/>
  <c r="D465" i="1"/>
  <c r="D904" i="1"/>
  <c r="D464" i="1"/>
  <c r="D463" i="1"/>
  <c r="D462" i="1"/>
  <c r="D461" i="1"/>
  <c r="D460" i="1"/>
  <c r="D903" i="1"/>
  <c r="D459" i="1"/>
  <c r="D458" i="1"/>
  <c r="D902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25" i="1"/>
  <c r="D368" i="1"/>
  <c r="D367" i="1"/>
  <c r="D366" i="1"/>
  <c r="D364" i="1"/>
  <c r="D32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23" i="1"/>
  <c r="D337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335" i="1"/>
  <c r="D334" i="1"/>
  <c r="D241" i="1"/>
  <c r="D240" i="1"/>
  <c r="D239" i="1"/>
  <c r="D238" i="1"/>
  <c r="D237" i="1"/>
  <c r="D236" i="1"/>
  <c r="D235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333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824" i="1"/>
  <c r="D197" i="1"/>
  <c r="D196" i="1"/>
  <c r="D195" i="1"/>
  <c r="D194" i="1"/>
  <c r="D193" i="1"/>
  <c r="D332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662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8" i="1"/>
  <c r="D147" i="1"/>
  <c r="D146" i="1"/>
  <c r="D145" i="1"/>
  <c r="D144" i="1"/>
  <c r="D143" i="1"/>
  <c r="D142" i="1"/>
  <c r="D141" i="1"/>
  <c r="D140" i="1"/>
  <c r="D139" i="1"/>
  <c r="D661" i="1"/>
  <c r="D138" i="1"/>
  <c r="D137" i="1"/>
  <c r="D136" i="1"/>
  <c r="D135" i="1"/>
  <c r="D134" i="1"/>
  <c r="D133" i="1"/>
  <c r="D132" i="1"/>
  <c r="D131" i="1"/>
  <c r="D130" i="1"/>
  <c r="D129" i="1"/>
  <c r="D331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660" i="1"/>
  <c r="D109" i="1"/>
  <c r="D108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330" i="1"/>
  <c r="D93" i="1"/>
  <c r="D92" i="1"/>
  <c r="D329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328" i="1"/>
  <c r="D26" i="1"/>
  <c r="D25" i="1"/>
  <c r="D24" i="1"/>
  <c r="D23" i="1"/>
  <c r="D22" i="1"/>
  <c r="D21" i="1"/>
  <c r="D90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659" i="1"/>
  <c r="D3" i="1"/>
  <c r="D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3" i="1"/>
  <c r="P956" i="1"/>
  <c r="P955" i="1"/>
  <c r="P954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3" i="1"/>
  <c r="P712" i="1"/>
  <c r="P711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599" i="1"/>
  <c r="P598" i="1"/>
  <c r="P597" i="1"/>
  <c r="P596" i="1"/>
  <c r="P595" i="1"/>
  <c r="P594" i="1"/>
  <c r="P593" i="1"/>
  <c r="P592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4" i="1"/>
  <c r="P503" i="1"/>
  <c r="P502" i="1"/>
  <c r="P501" i="1"/>
  <c r="P499" i="1"/>
  <c r="P498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4" i="1"/>
  <c r="P405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8" i="1"/>
  <c r="P307" i="1"/>
  <c r="P306" i="1"/>
  <c r="P305" i="1"/>
  <c r="P304" i="1"/>
  <c r="P303" i="1"/>
  <c r="P302" i="1"/>
  <c r="P301" i="1"/>
  <c r="P300" i="1"/>
  <c r="P309" i="1"/>
  <c r="P299" i="1"/>
  <c r="P298" i="1"/>
  <c r="P297" i="1"/>
  <c r="P296" i="1"/>
  <c r="P295" i="1"/>
  <c r="P294" i="1"/>
  <c r="P293" i="1"/>
  <c r="P292" i="1"/>
  <c r="P290" i="1"/>
  <c r="P289" i="1"/>
  <c r="P288" i="1"/>
  <c r="P287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3" i="1"/>
  <c r="P232" i="1"/>
  <c r="P231" i="1"/>
  <c r="P230" i="1"/>
  <c r="P229" i="1"/>
  <c r="P228" i="1"/>
  <c r="P227" i="1"/>
  <c r="P234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6" i="1"/>
  <c r="P107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653" i="1"/>
  <c r="Q652" i="1"/>
  <c r="Q651" i="1"/>
  <c r="Q650" i="1"/>
  <c r="Q649" i="1"/>
  <c r="Q648" i="1"/>
  <c r="Q647" i="1"/>
  <c r="Q646" i="1"/>
  <c r="Q645" i="1"/>
  <c r="Q322" i="1"/>
  <c r="Q321" i="1"/>
  <c r="Q320" i="1"/>
  <c r="Q319" i="1"/>
  <c r="Q318" i="1"/>
  <c r="Q317" i="1"/>
  <c r="Q316" i="1"/>
  <c r="Q315" i="1"/>
  <c r="Q314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70" i="1"/>
  <c r="Q69" i="1"/>
  <c r="Q68" i="1"/>
  <c r="Q148" i="1"/>
  <c r="Q147" i="1"/>
  <c r="Q146" i="1"/>
  <c r="Q145" i="1"/>
  <c r="Q144" i="1"/>
  <c r="Q143" i="1"/>
  <c r="Q142" i="1"/>
  <c r="Q141" i="1"/>
  <c r="Q140" i="1"/>
  <c r="Q139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67" i="1"/>
  <c r="Q66" i="1"/>
  <c r="Q65" i="1"/>
  <c r="Q64" i="1"/>
  <c r="Q63" i="1"/>
  <c r="Q62" i="1"/>
  <c r="Q61" i="1"/>
  <c r="Q60" i="1"/>
  <c r="Q59" i="1"/>
  <c r="Q313" i="1"/>
  <c r="Q312" i="1"/>
  <c r="Q311" i="1"/>
  <c r="Q310" i="1"/>
  <c r="Q308" i="1"/>
  <c r="Q307" i="1"/>
  <c r="Q644" i="1"/>
  <c r="Q643" i="1"/>
  <c r="Q642" i="1"/>
  <c r="Q641" i="1"/>
  <c r="Q640" i="1"/>
  <c r="Q639" i="1"/>
  <c r="Q638" i="1"/>
  <c r="Q637" i="1"/>
  <c r="Q635" i="1"/>
  <c r="Q900" i="1"/>
  <c r="Q899" i="1"/>
  <c r="Q898" i="1"/>
  <c r="Q897" i="1"/>
  <c r="Q896" i="1"/>
  <c r="Q895" i="1"/>
  <c r="Q894" i="1"/>
  <c r="Q58" i="1"/>
  <c r="Q57" i="1"/>
  <c r="Q56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634" i="1"/>
  <c r="Q633" i="1"/>
  <c r="Q632" i="1"/>
  <c r="Q631" i="1"/>
  <c r="Q630" i="1"/>
  <c r="Q973" i="1"/>
  <c r="Q972" i="1"/>
  <c r="Q971" i="1"/>
  <c r="Q970" i="1"/>
  <c r="Q969" i="1"/>
  <c r="Q968" i="1"/>
  <c r="Q967" i="1"/>
  <c r="Q966" i="1"/>
  <c r="Q965" i="1"/>
  <c r="Q964" i="1"/>
  <c r="Q306" i="1"/>
  <c r="Q305" i="1"/>
  <c r="Q304" i="1"/>
  <c r="Q303" i="1"/>
  <c r="Q302" i="1"/>
  <c r="Q301" i="1"/>
  <c r="Q300" i="1"/>
  <c r="Q309" i="1"/>
  <c r="Q299" i="1"/>
  <c r="Q629" i="1"/>
  <c r="Q628" i="1"/>
  <c r="Q627" i="1"/>
  <c r="Q626" i="1"/>
  <c r="Q625" i="1"/>
  <c r="Q624" i="1"/>
  <c r="Q791" i="1"/>
  <c r="Q790" i="1"/>
  <c r="Q789" i="1"/>
  <c r="Q788" i="1"/>
  <c r="Q787" i="1"/>
  <c r="Q786" i="1"/>
  <c r="Q785" i="1"/>
  <c r="Q784" i="1"/>
  <c r="Q783" i="1"/>
  <c r="Q893" i="1"/>
  <c r="Q892" i="1"/>
  <c r="Q891" i="1"/>
  <c r="Q890" i="1"/>
  <c r="Q889" i="1"/>
  <c r="Q888" i="1"/>
  <c r="Q623" i="1"/>
  <c r="Q622" i="1"/>
  <c r="Q621" i="1"/>
  <c r="Q620" i="1"/>
  <c r="Q619" i="1"/>
  <c r="Q618" i="1"/>
  <c r="Q617" i="1"/>
  <c r="Q616" i="1"/>
  <c r="Q615" i="1"/>
  <c r="Q614" i="1"/>
  <c r="Q613" i="1"/>
  <c r="Q55" i="1"/>
  <c r="Q54" i="1"/>
  <c r="Q53" i="1"/>
  <c r="Q52" i="1"/>
  <c r="Q51" i="1"/>
  <c r="Q50" i="1"/>
  <c r="Q49" i="1"/>
  <c r="Q48" i="1"/>
  <c r="Q47" i="1"/>
  <c r="Q46" i="1"/>
  <c r="Q45" i="1"/>
  <c r="Q298" i="1"/>
  <c r="Q297" i="1"/>
  <c r="Q296" i="1"/>
  <c r="Q295" i="1"/>
  <c r="Q294" i="1"/>
  <c r="Q293" i="1"/>
  <c r="Q782" i="1"/>
  <c r="Q781" i="1"/>
  <c r="Q780" i="1"/>
  <c r="Q779" i="1"/>
  <c r="Q778" i="1"/>
  <c r="Q777" i="1"/>
  <c r="Q776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963" i="1"/>
  <c r="Q962" i="1"/>
  <c r="Q961" i="1"/>
  <c r="Q960" i="1"/>
  <c r="Q959" i="1"/>
  <c r="Q958" i="1"/>
  <c r="Q957" i="1"/>
  <c r="Q953" i="1"/>
  <c r="Q956" i="1"/>
  <c r="Q955" i="1"/>
  <c r="Q954" i="1"/>
  <c r="Q952" i="1"/>
  <c r="Q951" i="1"/>
  <c r="Q950" i="1"/>
  <c r="Q44" i="1"/>
  <c r="Q43" i="1"/>
  <c r="Q42" i="1"/>
  <c r="Q41" i="1"/>
  <c r="Q40" i="1"/>
  <c r="Q39" i="1"/>
  <c r="Q38" i="1"/>
  <c r="Q37" i="1"/>
  <c r="Q138" i="1"/>
  <c r="Q137" i="1"/>
  <c r="Q136" i="1"/>
  <c r="Q135" i="1"/>
  <c r="Q134" i="1"/>
  <c r="Q133" i="1"/>
  <c r="Q132" i="1"/>
  <c r="Q292" i="1"/>
  <c r="Q290" i="1"/>
  <c r="Q289" i="1"/>
  <c r="Q288" i="1"/>
  <c r="Q287" i="1"/>
  <c r="Q285" i="1"/>
  <c r="Q284" i="1"/>
  <c r="Q283" i="1"/>
  <c r="Q282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599" i="1"/>
  <c r="Q598" i="1"/>
  <c r="Q597" i="1"/>
  <c r="Q596" i="1"/>
  <c r="Q595" i="1"/>
  <c r="Q594" i="1"/>
  <c r="Q593" i="1"/>
  <c r="Q592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875" i="1"/>
  <c r="Q874" i="1"/>
  <c r="Q873" i="1"/>
  <c r="Q872" i="1"/>
  <c r="Q871" i="1"/>
  <c r="Q870" i="1"/>
  <c r="Q869" i="1"/>
  <c r="Q868" i="1"/>
  <c r="Q559" i="1"/>
  <c r="Q558" i="1"/>
  <c r="Q557" i="1"/>
  <c r="Q556" i="1"/>
  <c r="Q555" i="1"/>
  <c r="Q554" i="1"/>
  <c r="Q553" i="1"/>
  <c r="Q552" i="1"/>
  <c r="Q281" i="1"/>
  <c r="Q280" i="1"/>
  <c r="Q279" i="1"/>
  <c r="Q278" i="1"/>
  <c r="Q277" i="1"/>
  <c r="Q276" i="1"/>
  <c r="Q275" i="1"/>
  <c r="Q274" i="1"/>
  <c r="Q273" i="1"/>
  <c r="Q551" i="1"/>
  <c r="Q550" i="1"/>
  <c r="Q549" i="1"/>
  <c r="Q548" i="1"/>
  <c r="Q547" i="1"/>
  <c r="Q546" i="1"/>
  <c r="Q545" i="1"/>
  <c r="Q544" i="1"/>
  <c r="Q867" i="1"/>
  <c r="Q866" i="1"/>
  <c r="Q865" i="1"/>
  <c r="Q864" i="1"/>
  <c r="Q863" i="1"/>
  <c r="Q862" i="1"/>
  <c r="Q861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860" i="1"/>
  <c r="Q859" i="1"/>
  <c r="Q858" i="1"/>
  <c r="Q857" i="1"/>
  <c r="Q856" i="1"/>
  <c r="Q855" i="1"/>
  <c r="Q36" i="1"/>
  <c r="Q35" i="1"/>
  <c r="Q34" i="1"/>
  <c r="Q521" i="1"/>
  <c r="Q520" i="1"/>
  <c r="Q519" i="1"/>
  <c r="Q518" i="1"/>
  <c r="Q517" i="1"/>
  <c r="Q516" i="1"/>
  <c r="Q33" i="1"/>
  <c r="Q32" i="1"/>
  <c r="Q31" i="1"/>
  <c r="Q30" i="1"/>
  <c r="Q29" i="1"/>
  <c r="Q28" i="1"/>
  <c r="Q27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515" i="1"/>
  <c r="Q514" i="1"/>
  <c r="Q513" i="1"/>
  <c r="Q512" i="1"/>
  <c r="Q511" i="1"/>
  <c r="Q510" i="1"/>
  <c r="Q509" i="1"/>
  <c r="Q508" i="1"/>
  <c r="Q507" i="1"/>
  <c r="Q506" i="1"/>
  <c r="Q504" i="1"/>
  <c r="Q949" i="1"/>
  <c r="Q948" i="1"/>
  <c r="Q947" i="1"/>
  <c r="Q946" i="1"/>
  <c r="Q945" i="1"/>
  <c r="Q754" i="1"/>
  <c r="Q753" i="1"/>
  <c r="Q752" i="1"/>
  <c r="Q751" i="1"/>
  <c r="Q750" i="1"/>
  <c r="Q749" i="1"/>
  <c r="Q748" i="1"/>
  <c r="Q747" i="1"/>
  <c r="Q746" i="1"/>
  <c r="Q503" i="1"/>
  <c r="Q502" i="1"/>
  <c r="Q501" i="1"/>
  <c r="Q499" i="1"/>
  <c r="Q498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131" i="1"/>
  <c r="Q130" i="1"/>
  <c r="Q129" i="1"/>
  <c r="Q128" i="1"/>
  <c r="Q127" i="1"/>
  <c r="Q126" i="1"/>
  <c r="Q260" i="1"/>
  <c r="Q259" i="1"/>
  <c r="Q258" i="1"/>
  <c r="Q257" i="1"/>
  <c r="Q256" i="1"/>
  <c r="Q255" i="1"/>
  <c r="Q254" i="1"/>
  <c r="Q253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6" i="1"/>
  <c r="Q473" i="1"/>
  <c r="Q472" i="1"/>
  <c r="Q471" i="1"/>
  <c r="Q470" i="1"/>
  <c r="Q469" i="1"/>
  <c r="Q468" i="1"/>
  <c r="Q467" i="1"/>
  <c r="Q252" i="1"/>
  <c r="Q251" i="1"/>
  <c r="Q466" i="1"/>
  <c r="Q250" i="1"/>
  <c r="Q249" i="1"/>
  <c r="Q465" i="1"/>
  <c r="Q248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247" i="1"/>
  <c r="Q246" i="1"/>
  <c r="Q245" i="1"/>
  <c r="Q244" i="1"/>
  <c r="Q243" i="1"/>
  <c r="Q242" i="1"/>
  <c r="Q241" i="1"/>
  <c r="Q450" i="1"/>
  <c r="Q449" i="1"/>
  <c r="Q448" i="1"/>
  <c r="Q447" i="1"/>
  <c r="Q240" i="1"/>
  <c r="Q239" i="1"/>
  <c r="Q238" i="1"/>
  <c r="Q237" i="1"/>
  <c r="Q236" i="1"/>
  <c r="Q235" i="1"/>
  <c r="Q233" i="1"/>
  <c r="Q232" i="1"/>
  <c r="Q231" i="1"/>
  <c r="Q230" i="1"/>
  <c r="Q229" i="1"/>
  <c r="Q228" i="1"/>
  <c r="Q227" i="1"/>
  <c r="Q234" i="1"/>
  <c r="Q446" i="1"/>
  <c r="Q445" i="1"/>
  <c r="Q444" i="1"/>
  <c r="Q443" i="1"/>
  <c r="Q442" i="1"/>
  <c r="Q441" i="1"/>
  <c r="Q440" i="1"/>
  <c r="Q439" i="1"/>
  <c r="Q438" i="1"/>
  <c r="Q437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26" i="1"/>
  <c r="Q25" i="1"/>
  <c r="Q24" i="1"/>
  <c r="Q23" i="1"/>
  <c r="Q22" i="1"/>
  <c r="Q21" i="1"/>
  <c r="Q20" i="1"/>
  <c r="Q19" i="1"/>
  <c r="Q18" i="1"/>
  <c r="Q17" i="1"/>
  <c r="Q436" i="1"/>
  <c r="Q435" i="1"/>
  <c r="Q434" i="1"/>
  <c r="Q433" i="1"/>
  <c r="Q432" i="1"/>
  <c r="Q431" i="1"/>
  <c r="Q429" i="1"/>
  <c r="Q428" i="1"/>
  <c r="Q427" i="1"/>
  <c r="Q426" i="1"/>
  <c r="Q425" i="1"/>
  <c r="Q185" i="1"/>
  <c r="Q184" i="1"/>
  <c r="Q183" i="1"/>
  <c r="Q182" i="1"/>
  <c r="Q181" i="1"/>
  <c r="Q180" i="1"/>
  <c r="Q179" i="1"/>
  <c r="Q178" i="1"/>
  <c r="Q854" i="1"/>
  <c r="Q853" i="1"/>
  <c r="Q852" i="1"/>
  <c r="Q851" i="1"/>
  <c r="Q850" i="1"/>
  <c r="Q849" i="1"/>
  <c r="Q848" i="1"/>
  <c r="Q847" i="1"/>
  <c r="Q846" i="1"/>
  <c r="Q926" i="1"/>
  <c r="Q925" i="1"/>
  <c r="Q924" i="1"/>
  <c r="Q923" i="1"/>
  <c r="Q922" i="1"/>
  <c r="Q921" i="1"/>
  <c r="Q920" i="1"/>
  <c r="Q733" i="1"/>
  <c r="Q732" i="1"/>
  <c r="Q731" i="1"/>
  <c r="Q730" i="1"/>
  <c r="Q729" i="1"/>
  <c r="Q845" i="1"/>
  <c r="Q844" i="1"/>
  <c r="Q843" i="1"/>
  <c r="Q842" i="1"/>
  <c r="Q424" i="1"/>
  <c r="Q423" i="1"/>
  <c r="Q422" i="1"/>
  <c r="Q421" i="1"/>
  <c r="Q420" i="1"/>
  <c r="Q419" i="1"/>
  <c r="Q418" i="1"/>
  <c r="Q16" i="1"/>
  <c r="Q15" i="1"/>
  <c r="Q14" i="1"/>
  <c r="Q13" i="1"/>
  <c r="Q12" i="1"/>
  <c r="Q11" i="1"/>
  <c r="Q10" i="1"/>
  <c r="Q9" i="1"/>
  <c r="Q8" i="1"/>
  <c r="Q417" i="1"/>
  <c r="Q416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415" i="1"/>
  <c r="Q414" i="1"/>
  <c r="Q413" i="1"/>
  <c r="Q412" i="1"/>
  <c r="Q411" i="1"/>
  <c r="Q410" i="1"/>
  <c r="Q409" i="1"/>
  <c r="Q408" i="1"/>
  <c r="Q728" i="1"/>
  <c r="Q407" i="1"/>
  <c r="Q406" i="1"/>
  <c r="Q404" i="1"/>
  <c r="Q405" i="1"/>
  <c r="Q403" i="1"/>
  <c r="Q402" i="1"/>
  <c r="Q401" i="1"/>
  <c r="Q400" i="1"/>
  <c r="Q399" i="1"/>
  <c r="Q398" i="1"/>
  <c r="Q397" i="1"/>
  <c r="Q396" i="1"/>
  <c r="Q841" i="1"/>
  <c r="Q840" i="1"/>
  <c r="Q839" i="1"/>
  <c r="Q838" i="1"/>
  <c r="Q837" i="1"/>
  <c r="Q836" i="1"/>
  <c r="Q835" i="1"/>
  <c r="Q834" i="1"/>
  <c r="Q395" i="1"/>
  <c r="Q394" i="1"/>
  <c r="Q991" i="1"/>
  <c r="Q393" i="1"/>
  <c r="Q392" i="1"/>
  <c r="Q391" i="1"/>
  <c r="Q390" i="1"/>
  <c r="Q161" i="1"/>
  <c r="Q160" i="1"/>
  <c r="Q159" i="1"/>
  <c r="Q158" i="1"/>
  <c r="Q157" i="1"/>
  <c r="Q156" i="1"/>
  <c r="Q155" i="1"/>
  <c r="Q7" i="1"/>
  <c r="Q6" i="1"/>
  <c r="Q5" i="1"/>
  <c r="Q4" i="1"/>
  <c r="Q3" i="1"/>
  <c r="Q2" i="1"/>
  <c r="Q154" i="1"/>
  <c r="Q153" i="1"/>
  <c r="Q152" i="1"/>
  <c r="Q151" i="1"/>
  <c r="Q150" i="1"/>
  <c r="Q727" i="1"/>
  <c r="Q726" i="1"/>
  <c r="Q725" i="1"/>
  <c r="Q724" i="1"/>
  <c r="Q723" i="1"/>
  <c r="Q722" i="1"/>
  <c r="Q721" i="1"/>
  <c r="Q720" i="1"/>
  <c r="Q389" i="1"/>
  <c r="Q388" i="1"/>
  <c r="Q387" i="1"/>
  <c r="Q386" i="1"/>
  <c r="Q385" i="1"/>
  <c r="Q384" i="1"/>
  <c r="Q383" i="1"/>
  <c r="Q382" i="1"/>
  <c r="Q381" i="1"/>
  <c r="Q380" i="1"/>
  <c r="Q719" i="1"/>
  <c r="Q718" i="1"/>
  <c r="Q717" i="1"/>
  <c r="Q716" i="1"/>
  <c r="Q715" i="1"/>
  <c r="Q713" i="1"/>
  <c r="Q712" i="1"/>
  <c r="Q711" i="1"/>
  <c r="Q709" i="1"/>
  <c r="Q708" i="1"/>
  <c r="Q707" i="1"/>
  <c r="Q706" i="1"/>
  <c r="Q705" i="1"/>
  <c r="Q704" i="1"/>
  <c r="Q703" i="1"/>
  <c r="Q702" i="1"/>
  <c r="Q701" i="1"/>
  <c r="Q700" i="1"/>
  <c r="Q379" i="1"/>
  <c r="Q378" i="1"/>
  <c r="Q377" i="1"/>
  <c r="Q376" i="1"/>
  <c r="Q375" i="1"/>
  <c r="Q374" i="1"/>
  <c r="Q373" i="1"/>
  <c r="Q107" i="1"/>
  <c r="Q105" i="1"/>
  <c r="Q104" i="1"/>
  <c r="Q103" i="1"/>
  <c r="Q102" i="1"/>
  <c r="Q101" i="1"/>
  <c r="Q699" i="1"/>
  <c r="Q698" i="1"/>
  <c r="Q697" i="1"/>
  <c r="Q696" i="1"/>
  <c r="Q694" i="1"/>
  <c r="Q693" i="1"/>
  <c r="Q692" i="1"/>
  <c r="Q691" i="1"/>
  <c r="Q690" i="1"/>
  <c r="Q689" i="1"/>
  <c r="Q688" i="1"/>
  <c r="Q100" i="1"/>
  <c r="Q99" i="1"/>
  <c r="Q98" i="1"/>
  <c r="Q97" i="1"/>
  <c r="Q96" i="1"/>
  <c r="Q95" i="1"/>
  <c r="Q94" i="1"/>
  <c r="Q93" i="1"/>
  <c r="Q92" i="1"/>
  <c r="Q91" i="1"/>
  <c r="Q372" i="1"/>
  <c r="Q371" i="1"/>
  <c r="Q370" i="1"/>
  <c r="Q369" i="1"/>
  <c r="Q368" i="1"/>
  <c r="Q367" i="1"/>
  <c r="Q366" i="1"/>
  <c r="Q364" i="1"/>
  <c r="Q363" i="1"/>
  <c r="Q362" i="1"/>
  <c r="Q687" i="1"/>
  <c r="Q686" i="1"/>
  <c r="Q685" i="1"/>
  <c r="Q684" i="1"/>
  <c r="Q683" i="1"/>
  <c r="Q682" i="1"/>
  <c r="Q361" i="1"/>
  <c r="Q360" i="1"/>
  <c r="Q359" i="1"/>
  <c r="Q358" i="1"/>
  <c r="Q833" i="1"/>
  <c r="Q832" i="1"/>
  <c r="Q831" i="1"/>
  <c r="Q830" i="1"/>
  <c r="Q829" i="1"/>
  <c r="Q828" i="1"/>
  <c r="Q827" i="1"/>
  <c r="Q357" i="1"/>
  <c r="Q356" i="1"/>
  <c r="Q355" i="1"/>
  <c r="Q354" i="1"/>
  <c r="Q353" i="1"/>
  <c r="Q352" i="1"/>
  <c r="Q351" i="1"/>
  <c r="Q350" i="1"/>
  <c r="Q681" i="1"/>
  <c r="Q680" i="1"/>
  <c r="Q679" i="1"/>
  <c r="Q678" i="1"/>
  <c r="Q677" i="1"/>
  <c r="Q676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919" i="1"/>
  <c r="Q918" i="1"/>
  <c r="Q917" i="1"/>
  <c r="Q916" i="1"/>
  <c r="Q915" i="1"/>
  <c r="Q914" i="1"/>
  <c r="Q913" i="1"/>
  <c r="Q912" i="1"/>
  <c r="Q911" i="1"/>
  <c r="Q910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D107" i="1"/>
  <c r="D404" i="1"/>
  <c r="D336" i="1"/>
  <c r="D365" i="1"/>
  <c r="D234" i="1"/>
  <c r="D591" i="1"/>
  <c r="D695" i="1"/>
  <c r="D710" i="1"/>
  <c r="D714" i="1"/>
  <c r="D953" i="1"/>
  <c r="D309" i="1"/>
  <c r="L665" i="1"/>
  <c r="J665" i="1" s="1"/>
  <c r="L659" i="1"/>
  <c r="J659" i="1" s="1"/>
  <c r="L666" i="1"/>
  <c r="J666" i="1" s="1"/>
  <c r="L667" i="1"/>
  <c r="J667" i="1" s="1"/>
  <c r="L668" i="1"/>
  <c r="J668" i="1" s="1"/>
  <c r="L669" i="1"/>
  <c r="J669" i="1" s="1"/>
  <c r="L670" i="1"/>
  <c r="J670" i="1" s="1"/>
  <c r="L671" i="1"/>
  <c r="J671" i="1" s="1"/>
  <c r="L672" i="1"/>
  <c r="J672" i="1" s="1"/>
  <c r="L673" i="1"/>
  <c r="J673" i="1" s="1"/>
  <c r="L674" i="1"/>
  <c r="J674" i="1" s="1"/>
  <c r="L675" i="1"/>
  <c r="J675" i="1" s="1"/>
  <c r="L910" i="1"/>
  <c r="J910" i="1" s="1"/>
  <c r="L911" i="1"/>
  <c r="J911" i="1" s="1"/>
  <c r="L912" i="1"/>
  <c r="J912" i="1" s="1"/>
  <c r="L913" i="1"/>
  <c r="J913" i="1" s="1"/>
  <c r="L914" i="1"/>
  <c r="J914" i="1" s="1"/>
  <c r="L915" i="1"/>
  <c r="J915" i="1" s="1"/>
  <c r="L916" i="1"/>
  <c r="J916" i="1" s="1"/>
  <c r="L901" i="1"/>
  <c r="J901" i="1" s="1"/>
  <c r="L917" i="1"/>
  <c r="J917" i="1" s="1"/>
  <c r="L918" i="1"/>
  <c r="J918" i="1" s="1"/>
  <c r="L919" i="1"/>
  <c r="J919" i="1" s="1"/>
  <c r="L337" i="1"/>
  <c r="J337" i="1" s="1"/>
  <c r="L338" i="1"/>
  <c r="J338" i="1" s="1"/>
  <c r="L339" i="1"/>
  <c r="J339" i="1" s="1"/>
  <c r="L328" i="1"/>
  <c r="J328" i="1" s="1"/>
  <c r="L340" i="1"/>
  <c r="J340" i="1" s="1"/>
  <c r="L341" i="1"/>
  <c r="J341" i="1" s="1"/>
  <c r="L342" i="1"/>
  <c r="J342" i="1" s="1"/>
  <c r="L343" i="1"/>
  <c r="J343" i="1" s="1"/>
  <c r="L344" i="1"/>
  <c r="J344" i="1" s="1"/>
  <c r="L345" i="1"/>
  <c r="J345" i="1" s="1"/>
  <c r="L346" i="1"/>
  <c r="J346" i="1" s="1"/>
  <c r="L347" i="1"/>
  <c r="J347" i="1" s="1"/>
  <c r="L348" i="1"/>
  <c r="J348" i="1" s="1"/>
  <c r="L349" i="1"/>
  <c r="J349" i="1" s="1"/>
  <c r="L75" i="1"/>
  <c r="J75" i="1" s="1"/>
  <c r="L76" i="1"/>
  <c r="J76" i="1" s="1"/>
  <c r="L77" i="1"/>
  <c r="J77" i="1" s="1"/>
  <c r="L78" i="1"/>
  <c r="J78" i="1" s="1"/>
  <c r="L79" i="1"/>
  <c r="J79" i="1" s="1"/>
  <c r="L80" i="1"/>
  <c r="J80" i="1" s="1"/>
  <c r="L81" i="1"/>
  <c r="J81" i="1" s="1"/>
  <c r="L82" i="1"/>
  <c r="J82" i="1" s="1"/>
  <c r="L83" i="1"/>
  <c r="J83" i="1" s="1"/>
  <c r="L84" i="1"/>
  <c r="J84" i="1" s="1"/>
  <c r="L85" i="1"/>
  <c r="J85" i="1" s="1"/>
  <c r="L86" i="1"/>
  <c r="J86" i="1" s="1"/>
  <c r="L87" i="1"/>
  <c r="J87" i="1" s="1"/>
  <c r="L88" i="1"/>
  <c r="L89" i="1"/>
  <c r="L90" i="1"/>
  <c r="L676" i="1"/>
  <c r="L677" i="1"/>
  <c r="L678" i="1"/>
  <c r="L679" i="1"/>
  <c r="L680" i="1"/>
  <c r="J680" i="1" s="1"/>
  <c r="L681" i="1"/>
  <c r="L350" i="1"/>
  <c r="L351" i="1"/>
  <c r="L352" i="1"/>
  <c r="L353" i="1"/>
  <c r="L354" i="1"/>
  <c r="L355" i="1"/>
  <c r="L356" i="1"/>
  <c r="J356" i="1" s="1"/>
  <c r="L357" i="1"/>
  <c r="L827" i="1"/>
  <c r="L828" i="1"/>
  <c r="L829" i="1"/>
  <c r="L830" i="1"/>
  <c r="L831" i="1"/>
  <c r="L832" i="1"/>
  <c r="L833" i="1"/>
  <c r="J833" i="1" s="1"/>
  <c r="L358" i="1"/>
  <c r="L359" i="1"/>
  <c r="L360" i="1"/>
  <c r="L361" i="1"/>
  <c r="L682" i="1"/>
  <c r="L683" i="1"/>
  <c r="L684" i="1"/>
  <c r="L685" i="1"/>
  <c r="J685" i="1" s="1"/>
  <c r="L686" i="1"/>
  <c r="L687" i="1"/>
  <c r="L362" i="1"/>
  <c r="L363" i="1"/>
  <c r="L364" i="1"/>
  <c r="L366" i="1"/>
  <c r="L329" i="1"/>
  <c r="L367" i="1"/>
  <c r="J367" i="1" s="1"/>
  <c r="L368" i="1"/>
  <c r="L330" i="1"/>
  <c r="L369" i="1"/>
  <c r="L370" i="1"/>
  <c r="L371" i="1"/>
  <c r="L372" i="1"/>
  <c r="L91" i="1"/>
  <c r="L92" i="1"/>
  <c r="J92" i="1" s="1"/>
  <c r="L93" i="1"/>
  <c r="L94" i="1"/>
  <c r="L95" i="1"/>
  <c r="L96" i="1"/>
  <c r="L97" i="1"/>
  <c r="L98" i="1"/>
  <c r="L99" i="1"/>
  <c r="L100" i="1"/>
  <c r="J100" i="1" s="1"/>
  <c r="L688" i="1"/>
  <c r="L689" i="1"/>
  <c r="L660" i="1"/>
  <c r="L690" i="1"/>
  <c r="L691" i="1"/>
  <c r="L692" i="1"/>
  <c r="L693" i="1"/>
  <c r="L694" i="1"/>
  <c r="J694" i="1" s="1"/>
  <c r="L696" i="1"/>
  <c r="L697" i="1"/>
  <c r="L698" i="1"/>
  <c r="L699" i="1"/>
  <c r="L101" i="1"/>
  <c r="L102" i="1"/>
  <c r="L103" i="1"/>
  <c r="L104" i="1"/>
  <c r="J104" i="1" s="1"/>
  <c r="L105" i="1"/>
  <c r="L107" i="1"/>
  <c r="L125" i="1"/>
  <c r="L373" i="1"/>
  <c r="L374" i="1"/>
  <c r="L375" i="1"/>
  <c r="L331" i="1"/>
  <c r="L376" i="1"/>
  <c r="J376" i="1" s="1"/>
  <c r="L377" i="1"/>
  <c r="L378" i="1"/>
  <c r="L379" i="1"/>
  <c r="L700" i="1"/>
  <c r="L701" i="1"/>
  <c r="L702" i="1"/>
  <c r="L703" i="1"/>
  <c r="L704" i="1"/>
  <c r="J704" i="1" s="1"/>
  <c r="L705" i="1"/>
  <c r="L661" i="1"/>
  <c r="L706" i="1"/>
  <c r="L707" i="1"/>
  <c r="L708" i="1"/>
  <c r="L709" i="1"/>
  <c r="L711" i="1"/>
  <c r="L712" i="1"/>
  <c r="J712" i="1" s="1"/>
  <c r="L713" i="1"/>
  <c r="L715" i="1"/>
  <c r="L716" i="1"/>
  <c r="L717" i="1"/>
  <c r="L718" i="1"/>
  <c r="L719" i="1"/>
  <c r="L380" i="1"/>
  <c r="L381" i="1"/>
  <c r="J381" i="1" s="1"/>
  <c r="L382" i="1"/>
  <c r="L383" i="1"/>
  <c r="L384" i="1"/>
  <c r="L385" i="1"/>
  <c r="L386" i="1"/>
  <c r="L387" i="1"/>
  <c r="L388" i="1"/>
  <c r="L389" i="1"/>
  <c r="J389" i="1" s="1"/>
  <c r="L720" i="1"/>
  <c r="L662" i="1"/>
  <c r="L721" i="1"/>
  <c r="L722" i="1"/>
  <c r="L723" i="1"/>
  <c r="L724" i="1"/>
  <c r="L725" i="1"/>
  <c r="L726" i="1"/>
  <c r="J726" i="1" s="1"/>
  <c r="L727" i="1"/>
  <c r="L150" i="1"/>
  <c r="L151" i="1"/>
  <c r="L152" i="1"/>
  <c r="L153" i="1"/>
  <c r="L154" i="1"/>
  <c r="L2" i="1"/>
  <c r="L3" i="1"/>
  <c r="J3" i="1" s="1"/>
  <c r="L4" i="1"/>
  <c r="J4" i="1" s="1"/>
  <c r="L5" i="1"/>
  <c r="L6" i="1"/>
  <c r="L7" i="1"/>
  <c r="L155" i="1"/>
  <c r="L156" i="1"/>
  <c r="L157" i="1"/>
  <c r="L158" i="1"/>
  <c r="J158" i="1" s="1"/>
  <c r="L159" i="1"/>
  <c r="L160" i="1"/>
  <c r="L161" i="1"/>
  <c r="L390" i="1"/>
  <c r="L391" i="1"/>
  <c r="L392" i="1"/>
  <c r="L393" i="1"/>
  <c r="L991" i="1"/>
  <c r="J991" i="1" s="1"/>
  <c r="M991" i="1" s="1"/>
  <c r="L332" i="1"/>
  <c r="L394" i="1"/>
  <c r="L395" i="1"/>
  <c r="L834" i="1"/>
  <c r="L835" i="1"/>
  <c r="L836" i="1"/>
  <c r="L824" i="1"/>
  <c r="L837" i="1"/>
  <c r="J837" i="1" s="1"/>
  <c r="L838" i="1"/>
  <c r="L839" i="1"/>
  <c r="L840" i="1"/>
  <c r="L841" i="1"/>
  <c r="L396" i="1"/>
  <c r="L397" i="1"/>
  <c r="L398" i="1"/>
  <c r="L399" i="1"/>
  <c r="J399" i="1" s="1"/>
  <c r="L400" i="1"/>
  <c r="L401" i="1"/>
  <c r="L402" i="1"/>
  <c r="L333" i="1"/>
  <c r="L403" i="1"/>
  <c r="L405" i="1"/>
  <c r="L404" i="1"/>
  <c r="L406" i="1"/>
  <c r="J406" i="1" s="1"/>
  <c r="L407" i="1"/>
  <c r="L728" i="1"/>
  <c r="L408" i="1"/>
  <c r="L409" i="1"/>
  <c r="L410" i="1"/>
  <c r="L411" i="1"/>
  <c r="L412" i="1"/>
  <c r="L413" i="1"/>
  <c r="J413" i="1" s="1"/>
  <c r="L414" i="1"/>
  <c r="L415" i="1"/>
  <c r="L162" i="1"/>
  <c r="L163" i="1"/>
  <c r="L226" i="1"/>
  <c r="L164" i="1"/>
  <c r="L165" i="1"/>
  <c r="L166" i="1"/>
  <c r="J166" i="1" s="1"/>
  <c r="L167" i="1"/>
  <c r="L168" i="1"/>
  <c r="L169" i="1"/>
  <c r="L170" i="1"/>
  <c r="L171" i="1"/>
  <c r="L172" i="1"/>
  <c r="L173" i="1"/>
  <c r="L174" i="1"/>
  <c r="J174" i="1" s="1"/>
  <c r="L175" i="1"/>
  <c r="L176" i="1"/>
  <c r="L177" i="1"/>
  <c r="L416" i="1"/>
  <c r="L334" i="1"/>
  <c r="L335" i="1"/>
  <c r="L417" i="1"/>
  <c r="L8" i="1"/>
  <c r="J8" i="1" s="1"/>
  <c r="L9" i="1"/>
  <c r="L10" i="1"/>
  <c r="L11" i="1"/>
  <c r="L12" i="1"/>
  <c r="L13" i="1"/>
  <c r="L14" i="1"/>
  <c r="L15" i="1"/>
  <c r="L16" i="1"/>
  <c r="J16" i="1" s="1"/>
  <c r="L418" i="1"/>
  <c r="L419" i="1"/>
  <c r="L420" i="1"/>
  <c r="L421" i="1"/>
  <c r="L422" i="1"/>
  <c r="L423" i="1"/>
  <c r="L424" i="1"/>
  <c r="L842" i="1"/>
  <c r="J842" i="1" s="1"/>
  <c r="L843" i="1"/>
  <c r="L844" i="1"/>
  <c r="L845" i="1"/>
  <c r="L729" i="1"/>
  <c r="L730" i="1"/>
  <c r="L731" i="1"/>
  <c r="L732" i="1"/>
  <c r="L733" i="1"/>
  <c r="J733" i="1" s="1"/>
  <c r="L920" i="1"/>
  <c r="L921" i="1"/>
  <c r="L922" i="1"/>
  <c r="L923" i="1"/>
  <c r="L924" i="1"/>
  <c r="L925" i="1"/>
  <c r="L926" i="1"/>
  <c r="L846" i="1"/>
  <c r="J846" i="1" s="1"/>
  <c r="L847" i="1"/>
  <c r="L848" i="1"/>
  <c r="L849" i="1"/>
  <c r="L850" i="1"/>
  <c r="L851" i="1"/>
  <c r="L852" i="1"/>
  <c r="L853" i="1"/>
  <c r="L854" i="1"/>
  <c r="J854" i="1" s="1"/>
  <c r="L178" i="1"/>
  <c r="L179" i="1"/>
  <c r="L286" i="1"/>
  <c r="L180" i="1"/>
  <c r="L181" i="1"/>
  <c r="L182" i="1"/>
  <c r="L183" i="1"/>
  <c r="L291" i="1"/>
  <c r="J291" i="1" s="1"/>
  <c r="L184" i="1"/>
  <c r="L185" i="1"/>
  <c r="L425" i="1"/>
  <c r="L426" i="1"/>
  <c r="L427" i="1"/>
  <c r="L428" i="1"/>
  <c r="L429" i="1"/>
  <c r="L431" i="1"/>
  <c r="J431" i="1" s="1"/>
  <c r="L432" i="1"/>
  <c r="L433" i="1"/>
  <c r="L434" i="1"/>
  <c r="L435" i="1"/>
  <c r="L436" i="1"/>
  <c r="L17" i="1"/>
  <c r="L18" i="1"/>
  <c r="L19" i="1"/>
  <c r="J19" i="1" s="1"/>
  <c r="L20" i="1"/>
  <c r="L21" i="1"/>
  <c r="L22" i="1"/>
  <c r="L23" i="1"/>
  <c r="L24" i="1"/>
  <c r="L25" i="1"/>
  <c r="L26" i="1"/>
  <c r="L186" i="1"/>
  <c r="J186" i="1" s="1"/>
  <c r="L187" i="1"/>
  <c r="L188" i="1"/>
  <c r="L189" i="1"/>
  <c r="L190" i="1"/>
  <c r="L191" i="1"/>
  <c r="L192" i="1"/>
  <c r="L193" i="1"/>
  <c r="L194" i="1"/>
  <c r="J194" i="1" s="1"/>
  <c r="L323" i="1"/>
  <c r="L195" i="1"/>
  <c r="L196" i="1"/>
  <c r="L336" i="1"/>
  <c r="L197" i="1"/>
  <c r="L198" i="1"/>
  <c r="L199" i="1"/>
  <c r="L200" i="1"/>
  <c r="J200" i="1" s="1"/>
  <c r="L201" i="1"/>
  <c r="L202" i="1"/>
  <c r="L203" i="1"/>
  <c r="L204" i="1"/>
  <c r="L205" i="1"/>
  <c r="L206" i="1"/>
  <c r="L207" i="1"/>
  <c r="L208" i="1"/>
  <c r="J208" i="1" s="1"/>
  <c r="L209" i="1"/>
  <c r="L210" i="1"/>
  <c r="L211" i="1"/>
  <c r="L212" i="1"/>
  <c r="L213" i="1"/>
  <c r="L214" i="1"/>
  <c r="L215" i="1"/>
  <c r="L216" i="1"/>
  <c r="J216" i="1" s="1"/>
  <c r="L217" i="1"/>
  <c r="L218" i="1"/>
  <c r="L219" i="1"/>
  <c r="L220" i="1"/>
  <c r="L324" i="1"/>
  <c r="L221" i="1"/>
  <c r="L222" i="1"/>
  <c r="L223" i="1"/>
  <c r="J223" i="1" s="1"/>
  <c r="L365" i="1"/>
  <c r="L224" i="1"/>
  <c r="L325" i="1"/>
  <c r="L225" i="1"/>
  <c r="L437" i="1"/>
  <c r="L438" i="1"/>
  <c r="L439" i="1"/>
  <c r="L440" i="1"/>
  <c r="J440" i="1" s="1"/>
  <c r="L441" i="1"/>
  <c r="L442" i="1"/>
  <c r="L443" i="1"/>
  <c r="L444" i="1"/>
  <c r="L445" i="1"/>
  <c r="L446" i="1"/>
  <c r="L234" i="1"/>
  <c r="L227" i="1"/>
  <c r="J227" i="1" s="1"/>
  <c r="L228" i="1"/>
  <c r="L229" i="1"/>
  <c r="L230" i="1"/>
  <c r="L231" i="1"/>
  <c r="L232" i="1"/>
  <c r="L233" i="1"/>
  <c r="L235" i="1"/>
  <c r="L236" i="1"/>
  <c r="J236" i="1" s="1"/>
  <c r="L237" i="1"/>
  <c r="L238" i="1"/>
  <c r="L239" i="1"/>
  <c r="L240" i="1"/>
  <c r="L447" i="1"/>
  <c r="L448" i="1"/>
  <c r="L449" i="1"/>
  <c r="L450" i="1"/>
  <c r="J450" i="1" s="1"/>
  <c r="L241" i="1"/>
  <c r="L242" i="1"/>
  <c r="L243" i="1"/>
  <c r="L244" i="1"/>
  <c r="L245" i="1"/>
  <c r="L246" i="1"/>
  <c r="L247" i="1"/>
  <c r="L451" i="1"/>
  <c r="J451" i="1" s="1"/>
  <c r="L452" i="1"/>
  <c r="L453" i="1"/>
  <c r="L454" i="1"/>
  <c r="L455" i="1"/>
  <c r="L456" i="1"/>
  <c r="L457" i="1"/>
  <c r="L458" i="1"/>
  <c r="L459" i="1"/>
  <c r="J459" i="1" s="1"/>
  <c r="L460" i="1"/>
  <c r="L461" i="1"/>
  <c r="L462" i="1"/>
  <c r="L463" i="1"/>
  <c r="L464" i="1"/>
  <c r="L248" i="1"/>
  <c r="L465" i="1"/>
  <c r="L249" i="1"/>
  <c r="J249" i="1" s="1"/>
  <c r="L250" i="1"/>
  <c r="L466" i="1"/>
  <c r="L251" i="1"/>
  <c r="L252" i="1"/>
  <c r="L467" i="1"/>
  <c r="L468" i="1"/>
  <c r="L469" i="1"/>
  <c r="L470" i="1"/>
  <c r="J470" i="1" s="1"/>
  <c r="L430" i="1"/>
  <c r="L471" i="1"/>
  <c r="L472" i="1"/>
  <c r="L473" i="1"/>
  <c r="L106" i="1"/>
  <c r="L108" i="1"/>
  <c r="L109" i="1"/>
  <c r="L110" i="1"/>
  <c r="J110" i="1" s="1"/>
  <c r="L111" i="1"/>
  <c r="L112" i="1"/>
  <c r="L113" i="1"/>
  <c r="L114" i="1"/>
  <c r="L115" i="1"/>
  <c r="L116" i="1"/>
  <c r="L117" i="1"/>
  <c r="L118" i="1"/>
  <c r="J118" i="1" s="1"/>
  <c r="L119" i="1"/>
  <c r="L120" i="1"/>
  <c r="L121" i="1"/>
  <c r="L122" i="1"/>
  <c r="L123" i="1"/>
  <c r="L124" i="1"/>
  <c r="L927" i="1"/>
  <c r="L928" i="1"/>
  <c r="J928" i="1" s="1"/>
  <c r="L929" i="1"/>
  <c r="L930" i="1"/>
  <c r="L931" i="1"/>
  <c r="L932" i="1"/>
  <c r="L902" i="1"/>
  <c r="L933" i="1"/>
  <c r="L934" i="1"/>
  <c r="L903" i="1"/>
  <c r="J903" i="1" s="1"/>
  <c r="L935" i="1"/>
  <c r="L936" i="1"/>
  <c r="L937" i="1"/>
  <c r="L938" i="1"/>
  <c r="L939" i="1"/>
  <c r="L904" i="1"/>
  <c r="L940" i="1"/>
  <c r="L905" i="1"/>
  <c r="J905" i="1" s="1"/>
  <c r="L941" i="1"/>
  <c r="L942" i="1"/>
  <c r="L943" i="1"/>
  <c r="L944" i="1"/>
  <c r="L253" i="1"/>
  <c r="L254" i="1"/>
  <c r="L255" i="1"/>
  <c r="L256" i="1"/>
  <c r="J256" i="1" s="1"/>
  <c r="L257" i="1"/>
  <c r="L258" i="1"/>
  <c r="L259" i="1"/>
  <c r="L326" i="1"/>
  <c r="L260" i="1"/>
  <c r="L126" i="1"/>
  <c r="L127" i="1"/>
  <c r="L128" i="1"/>
  <c r="J128" i="1" s="1"/>
  <c r="L129" i="1"/>
  <c r="L130" i="1"/>
  <c r="L131" i="1"/>
  <c r="L734" i="1"/>
  <c r="L735" i="1"/>
  <c r="L663" i="1"/>
  <c r="L736" i="1"/>
  <c r="L737" i="1"/>
  <c r="J737" i="1" s="1"/>
  <c r="L738" i="1"/>
  <c r="L739" i="1"/>
  <c r="L740" i="1"/>
  <c r="L741" i="1"/>
  <c r="L742" i="1"/>
  <c r="L743" i="1"/>
  <c r="L744" i="1"/>
  <c r="L745" i="1"/>
  <c r="J745" i="1" s="1"/>
  <c r="L474" i="1"/>
  <c r="L497" i="1"/>
  <c r="L475" i="1"/>
  <c r="L476" i="1"/>
  <c r="L500" i="1"/>
  <c r="L477" i="1"/>
  <c r="L478" i="1"/>
  <c r="L479" i="1"/>
  <c r="J479" i="1" s="1"/>
  <c r="L480" i="1"/>
  <c r="L505" i="1"/>
  <c r="L481" i="1"/>
  <c r="L482" i="1"/>
  <c r="L483" i="1"/>
  <c r="L484" i="1"/>
  <c r="L485" i="1"/>
  <c r="L486" i="1"/>
  <c r="J486" i="1" s="1"/>
  <c r="L487" i="1"/>
  <c r="L488" i="1"/>
  <c r="L489" i="1"/>
  <c r="L490" i="1"/>
  <c r="L491" i="1"/>
  <c r="L492" i="1"/>
  <c r="L493" i="1"/>
  <c r="L494" i="1"/>
  <c r="J494" i="1" s="1"/>
  <c r="L495" i="1"/>
  <c r="L496" i="1"/>
  <c r="L498" i="1"/>
  <c r="L499" i="1"/>
  <c r="L501" i="1"/>
  <c r="L502" i="1"/>
  <c r="L503" i="1"/>
  <c r="L746" i="1"/>
  <c r="J746" i="1" s="1"/>
  <c r="L747" i="1"/>
  <c r="L748" i="1"/>
  <c r="L749" i="1"/>
  <c r="L750" i="1"/>
  <c r="L751" i="1"/>
  <c r="L752" i="1"/>
  <c r="L753" i="1"/>
  <c r="L754" i="1"/>
  <c r="J754" i="1" s="1"/>
  <c r="L945" i="1"/>
  <c r="L946" i="1"/>
  <c r="L947" i="1"/>
  <c r="L906" i="1"/>
  <c r="L948" i="1"/>
  <c r="L949" i="1"/>
  <c r="L907" i="1"/>
  <c r="L504" i="1"/>
  <c r="J504" i="1" s="1"/>
  <c r="L506" i="1"/>
  <c r="L507" i="1"/>
  <c r="L508" i="1"/>
  <c r="L509" i="1"/>
  <c r="L510" i="1"/>
  <c r="L511" i="1"/>
  <c r="L512" i="1"/>
  <c r="L513" i="1"/>
  <c r="J513" i="1" s="1"/>
  <c r="L514" i="1"/>
  <c r="L515" i="1"/>
  <c r="L261" i="1"/>
  <c r="L262" i="1"/>
  <c r="L263" i="1"/>
  <c r="L264" i="1"/>
  <c r="L265" i="1"/>
  <c r="L266" i="1"/>
  <c r="J266" i="1" s="1"/>
  <c r="L267" i="1"/>
  <c r="L268" i="1"/>
  <c r="L269" i="1"/>
  <c r="L270" i="1"/>
  <c r="L271" i="1"/>
  <c r="L272" i="1"/>
  <c r="L27" i="1"/>
  <c r="L28" i="1"/>
  <c r="J28" i="1" s="1"/>
  <c r="L29" i="1"/>
  <c r="L71" i="1"/>
  <c r="L30" i="1"/>
  <c r="L31" i="1"/>
  <c r="L32" i="1"/>
  <c r="L33" i="1"/>
  <c r="L516" i="1"/>
  <c r="L517" i="1"/>
  <c r="J517" i="1" s="1"/>
  <c r="L573" i="1"/>
  <c r="L574" i="1"/>
  <c r="L518" i="1"/>
  <c r="L519" i="1"/>
  <c r="L520" i="1"/>
  <c r="L521" i="1"/>
  <c r="L72" i="1"/>
  <c r="L34" i="1"/>
  <c r="J34" i="1" s="1"/>
  <c r="L35" i="1"/>
  <c r="L73" i="1"/>
  <c r="L591" i="1"/>
  <c r="L36" i="1"/>
  <c r="L855" i="1"/>
  <c r="L856" i="1"/>
  <c r="L857" i="1"/>
  <c r="L858" i="1"/>
  <c r="J858" i="1" s="1"/>
  <c r="L859" i="1"/>
  <c r="L860" i="1"/>
  <c r="L522" i="1"/>
  <c r="L523" i="1"/>
  <c r="L524" i="1"/>
  <c r="L525" i="1"/>
  <c r="L526" i="1"/>
  <c r="L527" i="1"/>
  <c r="J527" i="1" s="1"/>
  <c r="L528" i="1"/>
  <c r="L529" i="1"/>
  <c r="L530" i="1"/>
  <c r="L531" i="1"/>
  <c r="L532" i="1"/>
  <c r="L600" i="1"/>
  <c r="L533" i="1"/>
  <c r="L534" i="1"/>
  <c r="J534" i="1" s="1"/>
  <c r="L535" i="1"/>
  <c r="L536" i="1"/>
  <c r="L537" i="1"/>
  <c r="L538" i="1"/>
  <c r="L539" i="1"/>
  <c r="L540" i="1"/>
  <c r="L541" i="1"/>
  <c r="L542" i="1"/>
  <c r="J542" i="1" s="1"/>
  <c r="L543" i="1"/>
  <c r="L861" i="1"/>
  <c r="L862" i="1"/>
  <c r="L863" i="1"/>
  <c r="L864" i="1"/>
  <c r="L865" i="1"/>
  <c r="L866" i="1"/>
  <c r="L867" i="1"/>
  <c r="J867" i="1" s="1"/>
  <c r="L825" i="1"/>
  <c r="L544" i="1"/>
  <c r="L545" i="1"/>
  <c r="L546" i="1"/>
  <c r="L547" i="1"/>
  <c r="L548" i="1"/>
  <c r="L549" i="1"/>
  <c r="L550" i="1"/>
  <c r="J550" i="1" s="1"/>
  <c r="L551" i="1"/>
  <c r="L273" i="1"/>
  <c r="L274" i="1"/>
  <c r="L275" i="1"/>
  <c r="L276" i="1"/>
  <c r="L277" i="1"/>
  <c r="L278" i="1"/>
  <c r="L279" i="1"/>
  <c r="J279" i="1" s="1"/>
  <c r="L280" i="1"/>
  <c r="L281" i="1"/>
  <c r="L636" i="1"/>
  <c r="L552" i="1"/>
  <c r="L553" i="1"/>
  <c r="L554" i="1"/>
  <c r="L555" i="1"/>
  <c r="L556" i="1"/>
  <c r="J556" i="1" s="1"/>
  <c r="L557" i="1"/>
  <c r="L558" i="1"/>
  <c r="L559" i="1"/>
  <c r="L868" i="1"/>
  <c r="L826" i="1"/>
  <c r="L869" i="1"/>
  <c r="L870" i="1"/>
  <c r="L871" i="1"/>
  <c r="J871" i="1" s="1"/>
  <c r="L872" i="1"/>
  <c r="L873" i="1"/>
  <c r="L874" i="1"/>
  <c r="L875" i="1"/>
  <c r="L560" i="1"/>
  <c r="L561" i="1"/>
  <c r="L562" i="1"/>
  <c r="L563" i="1"/>
  <c r="J563" i="1" s="1"/>
  <c r="L564" i="1"/>
  <c r="L565" i="1"/>
  <c r="L566" i="1"/>
  <c r="L567" i="1"/>
  <c r="L568" i="1"/>
  <c r="L569" i="1"/>
  <c r="L570" i="1"/>
  <c r="L571" i="1"/>
  <c r="J571" i="1" s="1"/>
  <c r="L572" i="1"/>
  <c r="L575" i="1"/>
  <c r="L576" i="1"/>
  <c r="L577" i="1"/>
  <c r="L578" i="1"/>
  <c r="L579" i="1"/>
  <c r="L580" i="1"/>
  <c r="L581" i="1"/>
  <c r="J581" i="1" s="1"/>
  <c r="L582" i="1"/>
  <c r="L583" i="1"/>
  <c r="L584" i="1"/>
  <c r="L585" i="1"/>
  <c r="L586" i="1"/>
  <c r="L587" i="1"/>
  <c r="L588" i="1"/>
  <c r="L654" i="1"/>
  <c r="J654" i="1" s="1"/>
  <c r="L589" i="1"/>
  <c r="L590" i="1"/>
  <c r="L695" i="1"/>
  <c r="L592" i="1"/>
  <c r="L593" i="1"/>
  <c r="L594" i="1"/>
  <c r="L595" i="1"/>
  <c r="L596" i="1"/>
  <c r="J596" i="1" s="1"/>
  <c r="L597" i="1"/>
  <c r="L598" i="1"/>
  <c r="L599" i="1"/>
  <c r="L601" i="1"/>
  <c r="L655" i="1"/>
  <c r="L602" i="1"/>
  <c r="L603" i="1"/>
  <c r="L656" i="1"/>
  <c r="J656" i="1" s="1"/>
  <c r="L604" i="1"/>
  <c r="L710" i="1"/>
  <c r="L605" i="1"/>
  <c r="L606" i="1"/>
  <c r="L607" i="1"/>
  <c r="L714" i="1"/>
  <c r="L608" i="1"/>
  <c r="L609" i="1"/>
  <c r="J609" i="1" s="1"/>
  <c r="L610" i="1"/>
  <c r="L611" i="1"/>
  <c r="L612" i="1"/>
  <c r="L755" i="1"/>
  <c r="L756" i="1"/>
  <c r="L757" i="1"/>
  <c r="L758" i="1"/>
  <c r="L759" i="1"/>
  <c r="J759" i="1" s="1"/>
  <c r="L760" i="1"/>
  <c r="L761" i="1"/>
  <c r="L762" i="1"/>
  <c r="L763" i="1"/>
  <c r="L764" i="1"/>
  <c r="L765" i="1"/>
  <c r="J765" i="1" s="1"/>
  <c r="L766" i="1"/>
  <c r="J766" i="1" s="1"/>
  <c r="L767" i="1"/>
  <c r="J767" i="1" s="1"/>
  <c r="L768" i="1"/>
  <c r="J768" i="1" s="1"/>
  <c r="L769" i="1"/>
  <c r="J769" i="1" s="1"/>
  <c r="L770" i="1"/>
  <c r="J770" i="1" s="1"/>
  <c r="L771" i="1"/>
  <c r="J771" i="1" s="1"/>
  <c r="L772" i="1"/>
  <c r="J772" i="1" s="1"/>
  <c r="L773" i="1"/>
  <c r="J773" i="1" s="1"/>
  <c r="L774" i="1"/>
  <c r="J774" i="1" s="1"/>
  <c r="L775" i="1"/>
  <c r="J775" i="1" s="1"/>
  <c r="L282" i="1"/>
  <c r="J282" i="1" s="1"/>
  <c r="L283" i="1"/>
  <c r="J283" i="1" s="1"/>
  <c r="L284" i="1"/>
  <c r="J284" i="1" s="1"/>
  <c r="L285" i="1"/>
  <c r="J285" i="1" s="1"/>
  <c r="L287" i="1"/>
  <c r="J287" i="1" s="1"/>
  <c r="L288" i="1"/>
  <c r="J288" i="1" s="1"/>
  <c r="L289" i="1"/>
  <c r="J289" i="1" s="1"/>
  <c r="L290" i="1"/>
  <c r="J290" i="1" s="1"/>
  <c r="L292" i="1"/>
  <c r="J292" i="1" s="1"/>
  <c r="L132" i="1"/>
  <c r="J132" i="1" s="1"/>
  <c r="L133" i="1"/>
  <c r="J133" i="1" s="1"/>
  <c r="L134" i="1"/>
  <c r="J134" i="1" s="1"/>
  <c r="L135" i="1"/>
  <c r="J135" i="1" s="1"/>
  <c r="L136" i="1"/>
  <c r="J136" i="1" s="1"/>
  <c r="L137" i="1"/>
  <c r="J137" i="1" s="1"/>
  <c r="L138" i="1"/>
  <c r="J138" i="1" s="1"/>
  <c r="L149" i="1"/>
  <c r="J149" i="1" s="1"/>
  <c r="L37" i="1"/>
  <c r="J37" i="1" s="1"/>
  <c r="L38" i="1"/>
  <c r="J38" i="1" s="1"/>
  <c r="L39" i="1"/>
  <c r="J39" i="1" s="1"/>
  <c r="L40" i="1"/>
  <c r="J40" i="1" s="1"/>
  <c r="L41" i="1"/>
  <c r="J41" i="1" s="1"/>
  <c r="L42" i="1"/>
  <c r="J42" i="1" s="1"/>
  <c r="L43" i="1"/>
  <c r="J43" i="1" s="1"/>
  <c r="L44" i="1"/>
  <c r="J44" i="1" s="1"/>
  <c r="L950" i="1"/>
  <c r="J950" i="1" s="1"/>
  <c r="L951" i="1"/>
  <c r="J951" i="1" s="1"/>
  <c r="L952" i="1"/>
  <c r="J952" i="1" s="1"/>
  <c r="L954" i="1"/>
  <c r="J954" i="1" s="1"/>
  <c r="L955" i="1"/>
  <c r="J955" i="1" s="1"/>
  <c r="L956" i="1"/>
  <c r="J956" i="1" s="1"/>
  <c r="L953" i="1"/>
  <c r="J953" i="1" s="1"/>
  <c r="L908" i="1"/>
  <c r="J908" i="1" s="1"/>
  <c r="L957" i="1"/>
  <c r="J957" i="1" s="1"/>
  <c r="L958" i="1"/>
  <c r="J958" i="1" s="1"/>
  <c r="L959" i="1"/>
  <c r="J959" i="1" s="1"/>
  <c r="L960" i="1"/>
  <c r="J960" i="1" s="1"/>
  <c r="L961" i="1"/>
  <c r="J961" i="1" s="1"/>
  <c r="L962" i="1"/>
  <c r="J962" i="1" s="1"/>
  <c r="L963" i="1"/>
  <c r="J963" i="1" s="1"/>
  <c r="L876" i="1"/>
  <c r="J876" i="1" s="1"/>
  <c r="L877" i="1"/>
  <c r="J877" i="1" s="1"/>
  <c r="L878" i="1"/>
  <c r="J878" i="1" s="1"/>
  <c r="L879" i="1"/>
  <c r="J879" i="1" s="1"/>
  <c r="L880" i="1"/>
  <c r="J880" i="1" s="1"/>
  <c r="L881" i="1"/>
  <c r="J881" i="1" s="1"/>
  <c r="L882" i="1"/>
  <c r="J882" i="1" s="1"/>
  <c r="L883" i="1"/>
  <c r="J883" i="1" s="1"/>
  <c r="L884" i="1"/>
  <c r="J884" i="1" s="1"/>
  <c r="L885" i="1"/>
  <c r="J885" i="1" s="1"/>
  <c r="L886" i="1"/>
  <c r="J886" i="1" s="1"/>
  <c r="L887" i="1"/>
  <c r="J887" i="1" s="1"/>
  <c r="L776" i="1"/>
  <c r="J776" i="1" s="1"/>
  <c r="L777" i="1"/>
  <c r="J777" i="1" s="1"/>
  <c r="L778" i="1"/>
  <c r="J778" i="1" s="1"/>
  <c r="L779" i="1"/>
  <c r="J779" i="1" s="1"/>
  <c r="L780" i="1"/>
  <c r="J780" i="1" s="1"/>
  <c r="L781" i="1"/>
  <c r="J781" i="1" s="1"/>
  <c r="L782" i="1"/>
  <c r="J782" i="1" s="1"/>
  <c r="L293" i="1"/>
  <c r="J293" i="1" s="1"/>
  <c r="L294" i="1"/>
  <c r="J294" i="1" s="1"/>
  <c r="L295" i="1"/>
  <c r="J295" i="1" s="1"/>
  <c r="L296" i="1"/>
  <c r="J296" i="1" s="1"/>
  <c r="L297" i="1"/>
  <c r="J297" i="1" s="1"/>
  <c r="L298" i="1"/>
  <c r="J298" i="1" s="1"/>
  <c r="L45" i="1"/>
  <c r="J45" i="1" s="1"/>
  <c r="L46" i="1"/>
  <c r="J46" i="1" s="1"/>
  <c r="L47" i="1"/>
  <c r="J47" i="1" s="1"/>
  <c r="L48" i="1"/>
  <c r="J48" i="1" s="1"/>
  <c r="L49" i="1"/>
  <c r="J49" i="1" s="1"/>
  <c r="L50" i="1"/>
  <c r="J50" i="1" s="1"/>
  <c r="L51" i="1"/>
  <c r="J51" i="1" s="1"/>
  <c r="L52" i="1"/>
  <c r="J52" i="1" s="1"/>
  <c r="L53" i="1"/>
  <c r="J53" i="1" s="1"/>
  <c r="L54" i="1"/>
  <c r="J54" i="1" s="1"/>
  <c r="L55" i="1"/>
  <c r="J55" i="1" s="1"/>
  <c r="L613" i="1"/>
  <c r="J613" i="1" s="1"/>
  <c r="L614" i="1"/>
  <c r="J614" i="1" s="1"/>
  <c r="L615" i="1"/>
  <c r="J615" i="1" s="1"/>
  <c r="L616" i="1"/>
  <c r="J616" i="1" s="1"/>
  <c r="L617" i="1"/>
  <c r="J617" i="1" s="1"/>
  <c r="L618" i="1"/>
  <c r="J618" i="1" s="1"/>
  <c r="L619" i="1"/>
  <c r="J619" i="1" s="1"/>
  <c r="L620" i="1"/>
  <c r="J620" i="1" s="1"/>
  <c r="L621" i="1"/>
  <c r="J621" i="1" s="1"/>
  <c r="L622" i="1"/>
  <c r="J622" i="1" s="1"/>
  <c r="L657" i="1"/>
  <c r="J657" i="1" s="1"/>
  <c r="L623" i="1"/>
  <c r="J623" i="1" s="1"/>
  <c r="L888" i="1"/>
  <c r="J888" i="1" s="1"/>
  <c r="L889" i="1"/>
  <c r="J889" i="1" s="1"/>
  <c r="L890" i="1"/>
  <c r="J890" i="1" s="1"/>
  <c r="L891" i="1"/>
  <c r="J891" i="1" s="1"/>
  <c r="L892" i="1"/>
  <c r="J892" i="1" s="1"/>
  <c r="L893" i="1"/>
  <c r="J893" i="1" s="1"/>
  <c r="L783" i="1"/>
  <c r="J783" i="1" s="1"/>
  <c r="L784" i="1"/>
  <c r="J784" i="1" s="1"/>
  <c r="L785" i="1"/>
  <c r="J785" i="1" s="1"/>
  <c r="L822" i="1"/>
  <c r="J822" i="1" s="1"/>
  <c r="L786" i="1"/>
  <c r="J786" i="1" s="1"/>
  <c r="L787" i="1"/>
  <c r="J787" i="1" s="1"/>
  <c r="L788" i="1"/>
  <c r="J788" i="1" s="1"/>
  <c r="L789" i="1"/>
  <c r="J789" i="1" s="1"/>
  <c r="L790" i="1"/>
  <c r="J790" i="1" s="1"/>
  <c r="L791" i="1"/>
  <c r="J791" i="1" s="1"/>
  <c r="L624" i="1"/>
  <c r="J624" i="1" s="1"/>
  <c r="L625" i="1"/>
  <c r="J625" i="1" s="1"/>
  <c r="L626" i="1"/>
  <c r="J626" i="1" s="1"/>
  <c r="L627" i="1"/>
  <c r="J627" i="1" s="1"/>
  <c r="L628" i="1"/>
  <c r="J628" i="1" s="1"/>
  <c r="L629" i="1"/>
  <c r="J629" i="1" s="1"/>
  <c r="L299" i="1"/>
  <c r="J299" i="1" s="1"/>
  <c r="L309" i="1"/>
  <c r="J309" i="1" s="1"/>
  <c r="L300" i="1"/>
  <c r="J300" i="1" s="1"/>
  <c r="L301" i="1"/>
  <c r="J301" i="1" s="1"/>
  <c r="L302" i="1"/>
  <c r="J302" i="1" s="1"/>
  <c r="L303" i="1"/>
  <c r="J303" i="1" s="1"/>
  <c r="L304" i="1"/>
  <c r="J304" i="1" s="1"/>
  <c r="L305" i="1"/>
  <c r="J305" i="1" s="1"/>
  <c r="L306" i="1"/>
  <c r="J306" i="1" s="1"/>
  <c r="L327" i="1"/>
  <c r="J327" i="1" s="1"/>
  <c r="L964" i="1"/>
  <c r="J964" i="1" s="1"/>
  <c r="L965" i="1"/>
  <c r="J965" i="1" s="1"/>
  <c r="L966" i="1"/>
  <c r="J966" i="1" s="1"/>
  <c r="L967" i="1"/>
  <c r="J967" i="1" s="1"/>
  <c r="L968" i="1"/>
  <c r="J968" i="1" s="1"/>
  <c r="L969" i="1"/>
  <c r="J969" i="1" s="1"/>
  <c r="L970" i="1"/>
  <c r="J970" i="1" s="1"/>
  <c r="L971" i="1"/>
  <c r="J971" i="1" s="1"/>
  <c r="L972" i="1"/>
  <c r="J972" i="1" s="1"/>
  <c r="L973" i="1"/>
  <c r="J973" i="1" s="1"/>
  <c r="L630" i="1"/>
  <c r="J630" i="1" s="1"/>
  <c r="L631" i="1"/>
  <c r="J631" i="1" s="1"/>
  <c r="L632" i="1"/>
  <c r="J632" i="1" s="1"/>
  <c r="L633" i="1"/>
  <c r="J633" i="1" s="1"/>
  <c r="L634" i="1"/>
  <c r="J634" i="1" s="1"/>
  <c r="L974" i="1"/>
  <c r="J974" i="1" s="1"/>
  <c r="L909" i="1"/>
  <c r="J909" i="1" s="1"/>
  <c r="L975" i="1"/>
  <c r="J975" i="1" s="1"/>
  <c r="L976" i="1"/>
  <c r="J976" i="1" s="1"/>
  <c r="L977" i="1"/>
  <c r="J977" i="1" s="1"/>
  <c r="L978" i="1"/>
  <c r="J978" i="1" s="1"/>
  <c r="L979" i="1"/>
  <c r="J979" i="1" s="1"/>
  <c r="L980" i="1"/>
  <c r="J980" i="1" s="1"/>
  <c r="L981" i="1"/>
  <c r="J981" i="1" s="1"/>
  <c r="L982" i="1"/>
  <c r="J982" i="1" s="1"/>
  <c r="L983" i="1"/>
  <c r="J983" i="1" s="1"/>
  <c r="L984" i="1"/>
  <c r="J984" i="1" s="1"/>
  <c r="L985" i="1"/>
  <c r="J985" i="1" s="1"/>
  <c r="L986" i="1"/>
  <c r="J986" i="1" s="1"/>
  <c r="L987" i="1"/>
  <c r="J987" i="1" s="1"/>
  <c r="L988" i="1"/>
  <c r="J988" i="1" s="1"/>
  <c r="L989" i="1"/>
  <c r="J989" i="1" s="1"/>
  <c r="L990" i="1"/>
  <c r="J990" i="1" s="1"/>
  <c r="L56" i="1"/>
  <c r="J56" i="1" s="1"/>
  <c r="L57" i="1"/>
  <c r="J57" i="1" s="1"/>
  <c r="L58" i="1"/>
  <c r="J58" i="1" s="1"/>
  <c r="L894" i="1"/>
  <c r="J894" i="1" s="1"/>
  <c r="L895" i="1"/>
  <c r="J895" i="1" s="1"/>
  <c r="L896" i="1"/>
  <c r="J896" i="1" s="1"/>
  <c r="L897" i="1"/>
  <c r="J897" i="1" s="1"/>
  <c r="L898" i="1"/>
  <c r="J898" i="1" s="1"/>
  <c r="L899" i="1"/>
  <c r="J899" i="1" s="1"/>
  <c r="L900" i="1"/>
  <c r="J900" i="1" s="1"/>
  <c r="L635" i="1"/>
  <c r="J635" i="1" s="1"/>
  <c r="L637" i="1"/>
  <c r="J637" i="1" s="1"/>
  <c r="L638" i="1"/>
  <c r="J638" i="1" s="1"/>
  <c r="L639" i="1"/>
  <c r="J639" i="1" s="1"/>
  <c r="L640" i="1"/>
  <c r="J640" i="1" s="1"/>
  <c r="L641" i="1"/>
  <c r="J641" i="1" s="1"/>
  <c r="L642" i="1"/>
  <c r="J642" i="1" s="1"/>
  <c r="L643" i="1"/>
  <c r="J643" i="1" s="1"/>
  <c r="L644" i="1"/>
  <c r="J644" i="1" s="1"/>
  <c r="L307" i="1"/>
  <c r="J307" i="1" s="1"/>
  <c r="L308" i="1"/>
  <c r="J308" i="1" s="1"/>
  <c r="L310" i="1"/>
  <c r="J310" i="1" s="1"/>
  <c r="L311" i="1"/>
  <c r="J311" i="1" s="1"/>
  <c r="L312" i="1"/>
  <c r="J312" i="1" s="1"/>
  <c r="L313" i="1"/>
  <c r="J313" i="1" s="1"/>
  <c r="L59" i="1"/>
  <c r="J59" i="1" s="1"/>
  <c r="L60" i="1"/>
  <c r="J60" i="1" s="1"/>
  <c r="L61" i="1"/>
  <c r="J61" i="1" s="1"/>
  <c r="L62" i="1"/>
  <c r="J62" i="1" s="1"/>
  <c r="L63" i="1"/>
  <c r="J63" i="1" s="1"/>
  <c r="L64" i="1"/>
  <c r="J64" i="1" s="1"/>
  <c r="L65" i="1"/>
  <c r="J65" i="1" s="1"/>
  <c r="L66" i="1"/>
  <c r="J66" i="1" s="1"/>
  <c r="L67" i="1"/>
  <c r="J67" i="1" s="1"/>
  <c r="L792" i="1"/>
  <c r="J792" i="1" s="1"/>
  <c r="L793" i="1"/>
  <c r="J793" i="1" s="1"/>
  <c r="L794" i="1"/>
  <c r="J794" i="1" s="1"/>
  <c r="L795" i="1"/>
  <c r="J795" i="1" s="1"/>
  <c r="L796" i="1"/>
  <c r="J796" i="1" s="1"/>
  <c r="L797" i="1"/>
  <c r="J797" i="1" s="1"/>
  <c r="L798" i="1"/>
  <c r="J798" i="1" s="1"/>
  <c r="L799" i="1"/>
  <c r="J799" i="1" s="1"/>
  <c r="L800" i="1"/>
  <c r="J800" i="1" s="1"/>
  <c r="L801" i="1"/>
  <c r="J801" i="1" s="1"/>
  <c r="L802" i="1"/>
  <c r="J802" i="1" s="1"/>
  <c r="L803" i="1"/>
  <c r="J803" i="1" s="1"/>
  <c r="L804" i="1"/>
  <c r="J804" i="1" s="1"/>
  <c r="L805" i="1"/>
  <c r="J805" i="1" s="1"/>
  <c r="L806" i="1"/>
  <c r="J806" i="1" s="1"/>
  <c r="L139" i="1"/>
  <c r="J139" i="1" s="1"/>
  <c r="L140" i="1"/>
  <c r="J140" i="1" s="1"/>
  <c r="L141" i="1"/>
  <c r="J141" i="1" s="1"/>
  <c r="L142" i="1"/>
  <c r="J142" i="1" s="1"/>
  <c r="L143" i="1"/>
  <c r="J143" i="1" s="1"/>
  <c r="L144" i="1"/>
  <c r="J144" i="1" s="1"/>
  <c r="L145" i="1"/>
  <c r="J145" i="1" s="1"/>
  <c r="L146" i="1"/>
  <c r="J146" i="1" s="1"/>
  <c r="L147" i="1"/>
  <c r="J147" i="1" s="1"/>
  <c r="L148" i="1"/>
  <c r="J148" i="1" s="1"/>
  <c r="L68" i="1"/>
  <c r="J68" i="1" s="1"/>
  <c r="L69" i="1"/>
  <c r="J69" i="1" s="1"/>
  <c r="L74" i="1"/>
  <c r="J74" i="1" s="1"/>
  <c r="L70" i="1"/>
  <c r="J70" i="1" s="1"/>
  <c r="L807" i="1"/>
  <c r="J807" i="1" s="1"/>
  <c r="L808" i="1"/>
  <c r="J808" i="1" s="1"/>
  <c r="L809" i="1"/>
  <c r="J809" i="1" s="1"/>
  <c r="L810" i="1"/>
  <c r="J810" i="1" s="1"/>
  <c r="L823" i="1"/>
  <c r="J823" i="1" s="1"/>
  <c r="L811" i="1"/>
  <c r="J811" i="1" s="1"/>
  <c r="L812" i="1"/>
  <c r="J812" i="1" s="1"/>
  <c r="L813" i="1"/>
  <c r="J813" i="1" s="1"/>
  <c r="L814" i="1"/>
  <c r="J814" i="1" s="1"/>
  <c r="L815" i="1"/>
  <c r="J815" i="1" s="1"/>
  <c r="L816" i="1"/>
  <c r="J816" i="1" s="1"/>
  <c r="L817" i="1"/>
  <c r="J817" i="1" s="1"/>
  <c r="L818" i="1"/>
  <c r="J818" i="1" s="1"/>
  <c r="L819" i="1"/>
  <c r="J819" i="1" s="1"/>
  <c r="L820" i="1"/>
  <c r="J820" i="1" s="1"/>
  <c r="L821" i="1"/>
  <c r="J821" i="1" s="1"/>
  <c r="L314" i="1"/>
  <c r="J314" i="1" s="1"/>
  <c r="L315" i="1"/>
  <c r="J315" i="1" s="1"/>
  <c r="L316" i="1"/>
  <c r="J316" i="1" s="1"/>
  <c r="L317" i="1"/>
  <c r="J317" i="1" s="1"/>
  <c r="L318" i="1"/>
  <c r="J318" i="1" s="1"/>
  <c r="L319" i="1"/>
  <c r="J319" i="1" s="1"/>
  <c r="L320" i="1"/>
  <c r="J320" i="1" s="1"/>
  <c r="L321" i="1"/>
  <c r="J321" i="1" s="1"/>
  <c r="L322" i="1"/>
  <c r="J322" i="1" s="1"/>
  <c r="L645" i="1"/>
  <c r="J645" i="1" s="1"/>
  <c r="L646" i="1"/>
  <c r="J646" i="1" s="1"/>
  <c r="L647" i="1"/>
  <c r="J647" i="1" s="1"/>
  <c r="L648" i="1"/>
  <c r="J648" i="1" s="1"/>
  <c r="L649" i="1"/>
  <c r="J649" i="1" s="1"/>
  <c r="L658" i="1"/>
  <c r="J658" i="1" s="1"/>
  <c r="L650" i="1"/>
  <c r="J650" i="1" s="1"/>
  <c r="J651" i="1"/>
  <c r="L652" i="1"/>
  <c r="J652" i="1" s="1"/>
  <c r="L653" i="1"/>
  <c r="J653" i="1" s="1"/>
  <c r="L664" i="1"/>
  <c r="J664" i="1" s="1"/>
  <c r="M780" i="1" l="1"/>
  <c r="M876" i="1"/>
  <c r="M624" i="1"/>
  <c r="M651" i="1"/>
  <c r="M768" i="1"/>
  <c r="M314" i="1"/>
  <c r="M867" i="1"/>
  <c r="M65" i="1"/>
  <c r="M174" i="1"/>
  <c r="M641" i="1"/>
  <c r="M704" i="1"/>
  <c r="M964" i="1"/>
  <c r="M680" i="1"/>
  <c r="M322" i="1"/>
  <c r="M312" i="1"/>
  <c r="M300" i="1"/>
  <c r="M884" i="1"/>
  <c r="M654" i="1"/>
  <c r="M3" i="1"/>
  <c r="M814" i="1"/>
  <c r="M898" i="1"/>
  <c r="M785" i="1"/>
  <c r="M908" i="1"/>
  <c r="M266" i="1"/>
  <c r="M376" i="1"/>
  <c r="M807" i="1"/>
  <c r="M990" i="1"/>
  <c r="M888" i="1"/>
  <c r="M44" i="1"/>
  <c r="M745" i="1"/>
  <c r="M694" i="1"/>
  <c r="M145" i="1"/>
  <c r="M982" i="1"/>
  <c r="M617" i="1"/>
  <c r="M149" i="1"/>
  <c r="M110" i="1"/>
  <c r="M833" i="1"/>
  <c r="M805" i="1"/>
  <c r="M909" i="1"/>
  <c r="M52" i="1"/>
  <c r="M292" i="1"/>
  <c r="M440" i="1"/>
  <c r="M356" i="1"/>
  <c r="M797" i="1"/>
  <c r="M972" i="1"/>
  <c r="M298" i="1"/>
  <c r="M282" i="1"/>
  <c r="M431" i="1"/>
  <c r="J577" i="1"/>
  <c r="M577" i="1" s="1"/>
  <c r="J868" i="1"/>
  <c r="M868" i="1" s="1"/>
  <c r="J531" i="1"/>
  <c r="M531" i="1" s="1"/>
  <c r="J519" i="1"/>
  <c r="M519" i="1" s="1"/>
  <c r="J906" i="1"/>
  <c r="M906" i="1" s="1"/>
  <c r="J482" i="1"/>
  <c r="M482" i="1" s="1"/>
  <c r="J326" i="1"/>
  <c r="M326" i="1" s="1"/>
  <c r="J114" i="1"/>
  <c r="M114" i="1" s="1"/>
  <c r="J455" i="1"/>
  <c r="M455" i="1" s="1"/>
  <c r="J231" i="1"/>
  <c r="M231" i="1" s="1"/>
  <c r="J212" i="1"/>
  <c r="M212" i="1" s="1"/>
  <c r="J23" i="1"/>
  <c r="M23" i="1" s="1"/>
  <c r="J850" i="1"/>
  <c r="M850" i="1" s="1"/>
  <c r="J416" i="1"/>
  <c r="M416" i="1" s="1"/>
  <c r="J333" i="1"/>
  <c r="M333" i="1" s="1"/>
  <c r="J7" i="1"/>
  <c r="M7" i="1" s="1"/>
  <c r="J717" i="1"/>
  <c r="M717" i="1" s="1"/>
  <c r="J699" i="1"/>
  <c r="M699" i="1" s="1"/>
  <c r="J363" i="1"/>
  <c r="M363" i="1" s="1"/>
  <c r="J829" i="1"/>
  <c r="M829" i="1" s="1"/>
  <c r="J676" i="1"/>
  <c r="M676" i="1" s="1"/>
  <c r="J762" i="1"/>
  <c r="M762" i="1" s="1"/>
  <c r="J612" i="1"/>
  <c r="M612" i="1" s="1"/>
  <c r="J605" i="1"/>
  <c r="M605" i="1" s="1"/>
  <c r="J599" i="1"/>
  <c r="M599" i="1" s="1"/>
  <c r="J695" i="1"/>
  <c r="M695" i="1" s="1"/>
  <c r="J584" i="1"/>
  <c r="M584" i="1" s="1"/>
  <c r="J576" i="1"/>
  <c r="M576" i="1" s="1"/>
  <c r="J566" i="1"/>
  <c r="M566" i="1" s="1"/>
  <c r="J874" i="1"/>
  <c r="M874" i="1" s="1"/>
  <c r="J559" i="1"/>
  <c r="M559" i="1" s="1"/>
  <c r="J636" i="1"/>
  <c r="M636" i="1" s="1"/>
  <c r="J274" i="1"/>
  <c r="M274" i="1" s="1"/>
  <c r="J545" i="1"/>
  <c r="M545" i="1" s="1"/>
  <c r="J862" i="1"/>
  <c r="M862" i="1" s="1"/>
  <c r="J537" i="1"/>
  <c r="M537" i="1" s="1"/>
  <c r="J530" i="1"/>
  <c r="M530" i="1" s="1"/>
  <c r="J522" i="1"/>
  <c r="M522" i="1" s="1"/>
  <c r="J591" i="1"/>
  <c r="M591" i="1" s="1"/>
  <c r="J518" i="1"/>
  <c r="M518" i="1" s="1"/>
  <c r="J30" i="1"/>
  <c r="M30" i="1" s="1"/>
  <c r="J269" i="1"/>
  <c r="M269" i="1" s="1"/>
  <c r="J261" i="1"/>
  <c r="M261" i="1" s="1"/>
  <c r="J508" i="1"/>
  <c r="M508" i="1" s="1"/>
  <c r="J947" i="1"/>
  <c r="M947" i="1" s="1"/>
  <c r="J749" i="1"/>
  <c r="M749" i="1" s="1"/>
  <c r="J498" i="1"/>
  <c r="M498" i="1" s="1"/>
  <c r="J489" i="1"/>
  <c r="M489" i="1" s="1"/>
  <c r="J481" i="1"/>
  <c r="M481" i="1" s="1"/>
  <c r="J475" i="1"/>
  <c r="M475" i="1" s="1"/>
  <c r="J740" i="1"/>
  <c r="M740" i="1" s="1"/>
  <c r="J131" i="1"/>
  <c r="M131" i="1" s="1"/>
  <c r="J259" i="1"/>
  <c r="M259" i="1" s="1"/>
  <c r="J943" i="1"/>
  <c r="M943" i="1" s="1"/>
  <c r="J937" i="1"/>
  <c r="M937" i="1" s="1"/>
  <c r="J931" i="1"/>
  <c r="M931" i="1" s="1"/>
  <c r="J121" i="1"/>
  <c r="M121" i="1" s="1"/>
  <c r="J113" i="1"/>
  <c r="M113" i="1" s="1"/>
  <c r="J472" i="1"/>
  <c r="M472" i="1" s="1"/>
  <c r="J251" i="1"/>
  <c r="M251" i="1" s="1"/>
  <c r="J462" i="1"/>
  <c r="M462" i="1" s="1"/>
  <c r="J454" i="1"/>
  <c r="M454" i="1" s="1"/>
  <c r="J243" i="1"/>
  <c r="M243" i="1" s="1"/>
  <c r="J239" i="1"/>
  <c r="M239" i="1" s="1"/>
  <c r="J230" i="1"/>
  <c r="M230" i="1" s="1"/>
  <c r="J443" i="1"/>
  <c r="M443" i="1" s="1"/>
  <c r="J325" i="1"/>
  <c r="M325" i="1" s="1"/>
  <c r="J219" i="1"/>
  <c r="M219" i="1" s="1"/>
  <c r="J211" i="1"/>
  <c r="M211" i="1" s="1"/>
  <c r="J203" i="1"/>
  <c r="M203" i="1" s="1"/>
  <c r="J196" i="1"/>
  <c r="M196" i="1" s="1"/>
  <c r="J189" i="1"/>
  <c r="M189" i="1" s="1"/>
  <c r="J22" i="1"/>
  <c r="M22" i="1" s="1"/>
  <c r="J434" i="1"/>
  <c r="M434" i="1" s="1"/>
  <c r="J425" i="1"/>
  <c r="M425" i="1" s="1"/>
  <c r="J286" i="1"/>
  <c r="M286" i="1" s="1"/>
  <c r="J849" i="1"/>
  <c r="M849" i="1" s="1"/>
  <c r="J922" i="1"/>
  <c r="M922" i="1" s="1"/>
  <c r="J845" i="1"/>
  <c r="M845" i="1" s="1"/>
  <c r="J420" i="1"/>
  <c r="M420" i="1" s="1"/>
  <c r="J11" i="1"/>
  <c r="M11" i="1" s="1"/>
  <c r="J177" i="1"/>
  <c r="M177" i="1" s="1"/>
  <c r="J169" i="1"/>
  <c r="M169" i="1" s="1"/>
  <c r="J162" i="1"/>
  <c r="M162" i="1" s="1"/>
  <c r="J408" i="1"/>
  <c r="M408" i="1" s="1"/>
  <c r="J402" i="1"/>
  <c r="M402" i="1" s="1"/>
  <c r="J840" i="1"/>
  <c r="M840" i="1" s="1"/>
  <c r="J395" i="1"/>
  <c r="M395" i="1" s="1"/>
  <c r="J161" i="1"/>
  <c r="M161" i="1" s="1"/>
  <c r="J6" i="1"/>
  <c r="M6" i="1" s="1"/>
  <c r="J151" i="1"/>
  <c r="M151" i="1" s="1"/>
  <c r="J721" i="1"/>
  <c r="M721" i="1" s="1"/>
  <c r="J384" i="1"/>
  <c r="M384" i="1" s="1"/>
  <c r="J716" i="1"/>
  <c r="M716" i="1" s="1"/>
  <c r="J706" i="1"/>
  <c r="M706" i="1" s="1"/>
  <c r="J379" i="1"/>
  <c r="M379" i="1" s="1"/>
  <c r="J125" i="1"/>
  <c r="M125" i="1" s="1"/>
  <c r="J698" i="1"/>
  <c r="M698" i="1" s="1"/>
  <c r="J660" i="1"/>
  <c r="M660" i="1" s="1"/>
  <c r="J95" i="1"/>
  <c r="M95" i="1" s="1"/>
  <c r="J369" i="1"/>
  <c r="M369" i="1" s="1"/>
  <c r="J362" i="1"/>
  <c r="M362" i="1" s="1"/>
  <c r="J360" i="1"/>
  <c r="M360" i="1" s="1"/>
  <c r="J828" i="1"/>
  <c r="M828" i="1" s="1"/>
  <c r="J351" i="1"/>
  <c r="M351" i="1" s="1"/>
  <c r="J90" i="1"/>
  <c r="M90" i="1" s="1"/>
  <c r="M650" i="1"/>
  <c r="M321" i="1"/>
  <c r="M821" i="1"/>
  <c r="M813" i="1"/>
  <c r="M70" i="1"/>
  <c r="M144" i="1"/>
  <c r="M804" i="1"/>
  <c r="M796" i="1"/>
  <c r="M64" i="1"/>
  <c r="M311" i="1"/>
  <c r="M640" i="1"/>
  <c r="M897" i="1"/>
  <c r="M989" i="1"/>
  <c r="M981" i="1"/>
  <c r="M974" i="1"/>
  <c r="M971" i="1"/>
  <c r="M327" i="1"/>
  <c r="M309" i="1"/>
  <c r="M791" i="1"/>
  <c r="M784" i="1"/>
  <c r="M623" i="1"/>
  <c r="M616" i="1"/>
  <c r="M51" i="1"/>
  <c r="M297" i="1"/>
  <c r="M779" i="1"/>
  <c r="M883" i="1"/>
  <c r="M963" i="1"/>
  <c r="M953" i="1"/>
  <c r="M43" i="1"/>
  <c r="M138" i="1"/>
  <c r="M290" i="1"/>
  <c r="M775" i="1"/>
  <c r="M767" i="1"/>
  <c r="M581" i="1"/>
  <c r="M542" i="1"/>
  <c r="M513" i="1"/>
  <c r="M737" i="1"/>
  <c r="M470" i="1"/>
  <c r="M223" i="1"/>
  <c r="M291" i="1"/>
  <c r="M166" i="1"/>
  <c r="M726" i="1"/>
  <c r="M100" i="1"/>
  <c r="J601" i="1"/>
  <c r="M601" i="1" s="1"/>
  <c r="J875" i="1"/>
  <c r="M875" i="1" s="1"/>
  <c r="J538" i="1"/>
  <c r="M538" i="1" s="1"/>
  <c r="J262" i="1"/>
  <c r="M262" i="1" s="1"/>
  <c r="J476" i="1"/>
  <c r="M476" i="1" s="1"/>
  <c r="J932" i="1"/>
  <c r="M932" i="1" s="1"/>
  <c r="J252" i="1"/>
  <c r="M252" i="1" s="1"/>
  <c r="J240" i="1"/>
  <c r="M240" i="1" s="1"/>
  <c r="J225" i="1"/>
  <c r="M225" i="1" s="1"/>
  <c r="J336" i="1"/>
  <c r="M336" i="1" s="1"/>
  <c r="J426" i="1"/>
  <c r="M426" i="1" s="1"/>
  <c r="J729" i="1"/>
  <c r="M729" i="1" s="1"/>
  <c r="J12" i="1"/>
  <c r="M12" i="1" s="1"/>
  <c r="J409" i="1"/>
  <c r="M409" i="1" s="1"/>
  <c r="J390" i="1"/>
  <c r="M390" i="1" s="1"/>
  <c r="J385" i="1"/>
  <c r="M385" i="1" s="1"/>
  <c r="J373" i="1"/>
  <c r="M373" i="1" s="1"/>
  <c r="J96" i="1"/>
  <c r="M96" i="1" s="1"/>
  <c r="J352" i="1"/>
  <c r="M352" i="1" s="1"/>
  <c r="J761" i="1"/>
  <c r="M761" i="1" s="1"/>
  <c r="J611" i="1"/>
  <c r="M611" i="1" s="1"/>
  <c r="J710" i="1"/>
  <c r="M710" i="1" s="1"/>
  <c r="J598" i="1"/>
  <c r="M598" i="1" s="1"/>
  <c r="J590" i="1"/>
  <c r="M590" i="1" s="1"/>
  <c r="J583" i="1"/>
  <c r="M583" i="1" s="1"/>
  <c r="J575" i="1"/>
  <c r="M575" i="1" s="1"/>
  <c r="J565" i="1"/>
  <c r="M565" i="1" s="1"/>
  <c r="J873" i="1"/>
  <c r="M873" i="1" s="1"/>
  <c r="J558" i="1"/>
  <c r="M558" i="1" s="1"/>
  <c r="J281" i="1"/>
  <c r="M281" i="1" s="1"/>
  <c r="J273" i="1"/>
  <c r="M273" i="1" s="1"/>
  <c r="J544" i="1"/>
  <c r="M544" i="1" s="1"/>
  <c r="J861" i="1"/>
  <c r="M861" i="1" s="1"/>
  <c r="J536" i="1"/>
  <c r="M536" i="1" s="1"/>
  <c r="J529" i="1"/>
  <c r="M529" i="1" s="1"/>
  <c r="J860" i="1"/>
  <c r="M860" i="1" s="1"/>
  <c r="J73" i="1"/>
  <c r="M73" i="1" s="1"/>
  <c r="J574" i="1"/>
  <c r="M574" i="1" s="1"/>
  <c r="J71" i="1"/>
  <c r="M71" i="1" s="1"/>
  <c r="J268" i="1"/>
  <c r="M268" i="1" s="1"/>
  <c r="J515" i="1"/>
  <c r="M515" i="1" s="1"/>
  <c r="J507" i="1"/>
  <c r="M507" i="1" s="1"/>
  <c r="J946" i="1"/>
  <c r="M946" i="1" s="1"/>
  <c r="J748" i="1"/>
  <c r="M748" i="1" s="1"/>
  <c r="J496" i="1"/>
  <c r="M496" i="1" s="1"/>
  <c r="J488" i="1"/>
  <c r="M488" i="1" s="1"/>
  <c r="J505" i="1"/>
  <c r="M505" i="1" s="1"/>
  <c r="J497" i="1"/>
  <c r="M497" i="1" s="1"/>
  <c r="J739" i="1"/>
  <c r="M739" i="1" s="1"/>
  <c r="J130" i="1"/>
  <c r="M130" i="1" s="1"/>
  <c r="J258" i="1"/>
  <c r="M258" i="1" s="1"/>
  <c r="J942" i="1"/>
  <c r="M942" i="1" s="1"/>
  <c r="J936" i="1"/>
  <c r="M936" i="1" s="1"/>
  <c r="J930" i="1"/>
  <c r="M930" i="1" s="1"/>
  <c r="J120" i="1"/>
  <c r="M120" i="1" s="1"/>
  <c r="J112" i="1"/>
  <c r="M112" i="1" s="1"/>
  <c r="J471" i="1"/>
  <c r="M471" i="1" s="1"/>
  <c r="J466" i="1"/>
  <c r="M466" i="1" s="1"/>
  <c r="J461" i="1"/>
  <c r="M461" i="1" s="1"/>
  <c r="J453" i="1"/>
  <c r="M453" i="1" s="1"/>
  <c r="J242" i="1"/>
  <c r="M242" i="1" s="1"/>
  <c r="J238" i="1"/>
  <c r="M238" i="1" s="1"/>
  <c r="J229" i="1"/>
  <c r="M229" i="1" s="1"/>
  <c r="J442" i="1"/>
  <c r="M442" i="1" s="1"/>
  <c r="J224" i="1"/>
  <c r="M224" i="1" s="1"/>
  <c r="J218" i="1"/>
  <c r="M218" i="1" s="1"/>
  <c r="J210" i="1"/>
  <c r="M210" i="1" s="1"/>
  <c r="J202" i="1"/>
  <c r="M202" i="1" s="1"/>
  <c r="J195" i="1"/>
  <c r="M195" i="1" s="1"/>
  <c r="J188" i="1"/>
  <c r="M188" i="1" s="1"/>
  <c r="J21" i="1"/>
  <c r="M21" i="1" s="1"/>
  <c r="J433" i="1"/>
  <c r="M433" i="1" s="1"/>
  <c r="J185" i="1"/>
  <c r="M185" i="1" s="1"/>
  <c r="J179" i="1"/>
  <c r="M179" i="1" s="1"/>
  <c r="J848" i="1"/>
  <c r="M848" i="1" s="1"/>
  <c r="J921" i="1"/>
  <c r="M921" i="1" s="1"/>
  <c r="J844" i="1"/>
  <c r="M844" i="1" s="1"/>
  <c r="J419" i="1"/>
  <c r="M419" i="1" s="1"/>
  <c r="J10" i="1"/>
  <c r="M10" i="1" s="1"/>
  <c r="J176" i="1"/>
  <c r="M176" i="1" s="1"/>
  <c r="J168" i="1"/>
  <c r="M168" i="1" s="1"/>
  <c r="J415" i="1"/>
  <c r="M415" i="1" s="1"/>
  <c r="J728" i="1"/>
  <c r="M728" i="1" s="1"/>
  <c r="J401" i="1"/>
  <c r="M401" i="1" s="1"/>
  <c r="J839" i="1"/>
  <c r="M839" i="1" s="1"/>
  <c r="J394" i="1"/>
  <c r="M394" i="1" s="1"/>
  <c r="J160" i="1"/>
  <c r="M160" i="1" s="1"/>
  <c r="J5" i="1"/>
  <c r="M5" i="1" s="1"/>
  <c r="J150" i="1"/>
  <c r="M150" i="1" s="1"/>
  <c r="J662" i="1"/>
  <c r="M662" i="1" s="1"/>
  <c r="J383" i="1"/>
  <c r="M383" i="1" s="1"/>
  <c r="J715" i="1"/>
  <c r="M715" i="1" s="1"/>
  <c r="J661" i="1"/>
  <c r="M661" i="1" s="1"/>
  <c r="J378" i="1"/>
  <c r="M378" i="1" s="1"/>
  <c r="J107" i="1"/>
  <c r="M107" i="1" s="1"/>
  <c r="J697" i="1"/>
  <c r="M697" i="1" s="1"/>
  <c r="J689" i="1"/>
  <c r="M689" i="1" s="1"/>
  <c r="J94" i="1"/>
  <c r="M94" i="1" s="1"/>
  <c r="J330" i="1"/>
  <c r="M330" i="1" s="1"/>
  <c r="J687" i="1"/>
  <c r="M687" i="1" s="1"/>
  <c r="J359" i="1"/>
  <c r="M359" i="1" s="1"/>
  <c r="J827" i="1"/>
  <c r="M827" i="1" s="1"/>
  <c r="J350" i="1"/>
  <c r="M350" i="1" s="1"/>
  <c r="J89" i="1"/>
  <c r="M89" i="1" s="1"/>
  <c r="M658" i="1"/>
  <c r="M320" i="1"/>
  <c r="M820" i="1"/>
  <c r="M812" i="1"/>
  <c r="M74" i="1"/>
  <c r="M143" i="1"/>
  <c r="M803" i="1"/>
  <c r="M795" i="1"/>
  <c r="M63" i="1"/>
  <c r="M310" i="1"/>
  <c r="M639" i="1"/>
  <c r="M896" i="1"/>
  <c r="M988" i="1"/>
  <c r="M980" i="1"/>
  <c r="M634" i="1"/>
  <c r="M970" i="1"/>
  <c r="M306" i="1"/>
  <c r="M299" i="1"/>
  <c r="M790" i="1"/>
  <c r="M783" i="1"/>
  <c r="M657" i="1"/>
  <c r="M615" i="1"/>
  <c r="M50" i="1"/>
  <c r="M296" i="1"/>
  <c r="M778" i="1"/>
  <c r="M882" i="1"/>
  <c r="M962" i="1"/>
  <c r="M956" i="1"/>
  <c r="M42" i="1"/>
  <c r="M137" i="1"/>
  <c r="M289" i="1"/>
  <c r="M774" i="1"/>
  <c r="M766" i="1"/>
  <c r="M571" i="1"/>
  <c r="M534" i="1"/>
  <c r="M504" i="1"/>
  <c r="M128" i="1"/>
  <c r="M249" i="1"/>
  <c r="M216" i="1"/>
  <c r="M854" i="1"/>
  <c r="M413" i="1"/>
  <c r="M389" i="1"/>
  <c r="M92" i="1"/>
  <c r="J606" i="1"/>
  <c r="M606" i="1" s="1"/>
  <c r="J567" i="1"/>
  <c r="M567" i="1" s="1"/>
  <c r="J546" i="1"/>
  <c r="M546" i="1" s="1"/>
  <c r="J36" i="1"/>
  <c r="M36" i="1" s="1"/>
  <c r="J270" i="1"/>
  <c r="M270" i="1" s="1"/>
  <c r="J499" i="1"/>
  <c r="M499" i="1" s="1"/>
  <c r="J734" i="1"/>
  <c r="M734" i="1" s="1"/>
  <c r="J473" i="1"/>
  <c r="M473" i="1" s="1"/>
  <c r="J244" i="1"/>
  <c r="M244" i="1" s="1"/>
  <c r="J220" i="1"/>
  <c r="M220" i="1" s="1"/>
  <c r="J190" i="1"/>
  <c r="M190" i="1" s="1"/>
  <c r="J180" i="1"/>
  <c r="M180" i="1" s="1"/>
  <c r="J421" i="1"/>
  <c r="M421" i="1" s="1"/>
  <c r="J163" i="1"/>
  <c r="M163" i="1" s="1"/>
  <c r="J834" i="1"/>
  <c r="M834" i="1" s="1"/>
  <c r="J152" i="1"/>
  <c r="M152" i="1" s="1"/>
  <c r="J700" i="1"/>
  <c r="M700" i="1" s="1"/>
  <c r="J370" i="1"/>
  <c r="M370" i="1" s="1"/>
  <c r="J760" i="1"/>
  <c r="M760" i="1" s="1"/>
  <c r="J610" i="1"/>
  <c r="M610" i="1" s="1"/>
  <c r="J604" i="1"/>
  <c r="M604" i="1" s="1"/>
  <c r="J597" i="1"/>
  <c r="M597" i="1" s="1"/>
  <c r="J589" i="1"/>
  <c r="M589" i="1" s="1"/>
  <c r="J582" i="1"/>
  <c r="M582" i="1" s="1"/>
  <c r="J572" i="1"/>
  <c r="M572" i="1" s="1"/>
  <c r="J564" i="1"/>
  <c r="M564" i="1" s="1"/>
  <c r="J872" i="1"/>
  <c r="M872" i="1" s="1"/>
  <c r="J557" i="1"/>
  <c r="M557" i="1" s="1"/>
  <c r="J280" i="1"/>
  <c r="M280" i="1" s="1"/>
  <c r="J551" i="1"/>
  <c r="M551" i="1" s="1"/>
  <c r="J825" i="1"/>
  <c r="M825" i="1" s="1"/>
  <c r="J543" i="1"/>
  <c r="M543" i="1" s="1"/>
  <c r="J535" i="1"/>
  <c r="M535" i="1" s="1"/>
  <c r="J528" i="1"/>
  <c r="M528" i="1" s="1"/>
  <c r="J859" i="1"/>
  <c r="M859" i="1" s="1"/>
  <c r="J35" i="1"/>
  <c r="M35" i="1" s="1"/>
  <c r="J573" i="1"/>
  <c r="M573" i="1" s="1"/>
  <c r="J29" i="1"/>
  <c r="M29" i="1" s="1"/>
  <c r="J267" i="1"/>
  <c r="M267" i="1" s="1"/>
  <c r="J514" i="1"/>
  <c r="M514" i="1" s="1"/>
  <c r="J506" i="1"/>
  <c r="M506" i="1" s="1"/>
  <c r="J945" i="1"/>
  <c r="M945" i="1" s="1"/>
  <c r="J747" i="1"/>
  <c r="M747" i="1" s="1"/>
  <c r="J495" i="1"/>
  <c r="M495" i="1" s="1"/>
  <c r="J487" i="1"/>
  <c r="M487" i="1" s="1"/>
  <c r="J480" i="1"/>
  <c r="M480" i="1" s="1"/>
  <c r="J474" i="1"/>
  <c r="M474" i="1" s="1"/>
  <c r="J738" i="1"/>
  <c r="M738" i="1" s="1"/>
  <c r="J129" i="1"/>
  <c r="M129" i="1" s="1"/>
  <c r="J257" i="1"/>
  <c r="M257" i="1" s="1"/>
  <c r="J941" i="1"/>
  <c r="M941" i="1" s="1"/>
  <c r="J935" i="1"/>
  <c r="M935" i="1" s="1"/>
  <c r="J929" i="1"/>
  <c r="M929" i="1" s="1"/>
  <c r="J119" i="1"/>
  <c r="M119" i="1" s="1"/>
  <c r="J111" i="1"/>
  <c r="M111" i="1" s="1"/>
  <c r="J430" i="1"/>
  <c r="M430" i="1" s="1"/>
  <c r="J250" i="1"/>
  <c r="M250" i="1" s="1"/>
  <c r="J460" i="1"/>
  <c r="M460" i="1" s="1"/>
  <c r="J452" i="1"/>
  <c r="M452" i="1" s="1"/>
  <c r="J241" i="1"/>
  <c r="M241" i="1" s="1"/>
  <c r="J237" i="1"/>
  <c r="M237" i="1" s="1"/>
  <c r="J228" i="1"/>
  <c r="M228" i="1" s="1"/>
  <c r="J441" i="1"/>
  <c r="M441" i="1" s="1"/>
  <c r="J365" i="1"/>
  <c r="M365" i="1" s="1"/>
  <c r="J217" i="1"/>
  <c r="M217" i="1" s="1"/>
  <c r="J209" i="1"/>
  <c r="M209" i="1" s="1"/>
  <c r="J201" i="1"/>
  <c r="M201" i="1" s="1"/>
  <c r="J323" i="1"/>
  <c r="M323" i="1" s="1"/>
  <c r="J187" i="1"/>
  <c r="M187" i="1" s="1"/>
  <c r="J20" i="1"/>
  <c r="M20" i="1" s="1"/>
  <c r="J432" i="1"/>
  <c r="M432" i="1" s="1"/>
  <c r="J184" i="1"/>
  <c r="M184" i="1" s="1"/>
  <c r="J178" i="1"/>
  <c r="M178" i="1" s="1"/>
  <c r="J847" i="1"/>
  <c r="M847" i="1" s="1"/>
  <c r="J920" i="1"/>
  <c r="M920" i="1" s="1"/>
  <c r="J843" i="1"/>
  <c r="M843" i="1" s="1"/>
  <c r="J418" i="1"/>
  <c r="M418" i="1" s="1"/>
  <c r="J9" i="1"/>
  <c r="M9" i="1" s="1"/>
  <c r="J175" i="1"/>
  <c r="M175" i="1" s="1"/>
  <c r="J167" i="1"/>
  <c r="M167" i="1" s="1"/>
  <c r="J414" i="1"/>
  <c r="M414" i="1" s="1"/>
  <c r="J407" i="1"/>
  <c r="M407" i="1" s="1"/>
  <c r="J400" i="1"/>
  <c r="M400" i="1" s="1"/>
  <c r="J838" i="1"/>
  <c r="M838" i="1" s="1"/>
  <c r="J332" i="1"/>
  <c r="M332" i="1" s="1"/>
  <c r="J159" i="1"/>
  <c r="M159" i="1" s="1"/>
  <c r="M4" i="1"/>
  <c r="J727" i="1"/>
  <c r="M727" i="1" s="1"/>
  <c r="J720" i="1"/>
  <c r="M720" i="1" s="1"/>
  <c r="J382" i="1"/>
  <c r="M382" i="1" s="1"/>
  <c r="J713" i="1"/>
  <c r="M713" i="1" s="1"/>
  <c r="J705" i="1"/>
  <c r="M705" i="1" s="1"/>
  <c r="J377" i="1"/>
  <c r="M377" i="1" s="1"/>
  <c r="J105" i="1"/>
  <c r="M105" i="1" s="1"/>
  <c r="J696" i="1"/>
  <c r="M696" i="1" s="1"/>
  <c r="J688" i="1"/>
  <c r="M688" i="1" s="1"/>
  <c r="J93" i="1"/>
  <c r="M93" i="1" s="1"/>
  <c r="J368" i="1"/>
  <c r="M368" i="1" s="1"/>
  <c r="J686" i="1"/>
  <c r="M686" i="1" s="1"/>
  <c r="J358" i="1"/>
  <c r="M358" i="1" s="1"/>
  <c r="J357" i="1"/>
  <c r="M357" i="1" s="1"/>
  <c r="J681" i="1"/>
  <c r="M681" i="1" s="1"/>
  <c r="J88" i="1"/>
  <c r="M88" i="1" s="1"/>
  <c r="M649" i="1"/>
  <c r="M319" i="1"/>
  <c r="M819" i="1"/>
  <c r="M811" i="1"/>
  <c r="M69" i="1"/>
  <c r="M142" i="1"/>
  <c r="M802" i="1"/>
  <c r="M794" i="1"/>
  <c r="M62" i="1"/>
  <c r="M308" i="1"/>
  <c r="M638" i="1"/>
  <c r="M895" i="1"/>
  <c r="M987" i="1"/>
  <c r="M979" i="1"/>
  <c r="M633" i="1"/>
  <c r="M969" i="1"/>
  <c r="M305" i="1"/>
  <c r="M629" i="1"/>
  <c r="M789" i="1"/>
  <c r="M893" i="1"/>
  <c r="M622" i="1"/>
  <c r="M614" i="1"/>
  <c r="M49" i="1"/>
  <c r="M295" i="1"/>
  <c r="M777" i="1"/>
  <c r="M881" i="1"/>
  <c r="M961" i="1"/>
  <c r="M955" i="1"/>
  <c r="M41" i="1"/>
  <c r="M136" i="1"/>
  <c r="M288" i="1"/>
  <c r="M773" i="1"/>
  <c r="M765" i="1"/>
  <c r="M563" i="1"/>
  <c r="M527" i="1"/>
  <c r="M754" i="1"/>
  <c r="M256" i="1"/>
  <c r="M459" i="1"/>
  <c r="M208" i="1"/>
  <c r="M846" i="1"/>
  <c r="M406" i="1"/>
  <c r="M381" i="1"/>
  <c r="M367" i="1"/>
  <c r="J585" i="1"/>
  <c r="M585" i="1" s="1"/>
  <c r="J552" i="1"/>
  <c r="M552" i="1" s="1"/>
  <c r="J523" i="1"/>
  <c r="M523" i="1" s="1"/>
  <c r="J31" i="1"/>
  <c r="M31" i="1" s="1"/>
  <c r="J509" i="1"/>
  <c r="M509" i="1" s="1"/>
  <c r="J490" i="1"/>
  <c r="M490" i="1" s="1"/>
  <c r="J741" i="1"/>
  <c r="M741" i="1" s="1"/>
  <c r="J122" i="1"/>
  <c r="M122" i="1" s="1"/>
  <c r="J463" i="1"/>
  <c r="M463" i="1" s="1"/>
  <c r="J444" i="1"/>
  <c r="M444" i="1" s="1"/>
  <c r="J204" i="1"/>
  <c r="M204" i="1" s="1"/>
  <c r="J435" i="1"/>
  <c r="M435" i="1" s="1"/>
  <c r="J923" i="1"/>
  <c r="M923" i="1" s="1"/>
  <c r="J170" i="1"/>
  <c r="M170" i="1" s="1"/>
  <c r="J841" i="1"/>
  <c r="M841" i="1" s="1"/>
  <c r="J722" i="1"/>
  <c r="M722" i="1" s="1"/>
  <c r="J707" i="1"/>
  <c r="M707" i="1" s="1"/>
  <c r="J690" i="1"/>
  <c r="M690" i="1" s="1"/>
  <c r="J361" i="1"/>
  <c r="M361" i="1" s="1"/>
  <c r="M648" i="1"/>
  <c r="M318" i="1"/>
  <c r="M818" i="1"/>
  <c r="M823" i="1"/>
  <c r="M68" i="1"/>
  <c r="M141" i="1"/>
  <c r="M801" i="1"/>
  <c r="M793" i="1"/>
  <c r="M61" i="1"/>
  <c r="M307" i="1"/>
  <c r="M637" i="1"/>
  <c r="M894" i="1"/>
  <c r="M986" i="1"/>
  <c r="M978" i="1"/>
  <c r="M632" i="1"/>
  <c r="M968" i="1"/>
  <c r="M304" i="1"/>
  <c r="M628" i="1"/>
  <c r="M788" i="1"/>
  <c r="M892" i="1"/>
  <c r="M621" i="1"/>
  <c r="M613" i="1"/>
  <c r="M48" i="1"/>
  <c r="M294" i="1"/>
  <c r="M776" i="1"/>
  <c r="M880" i="1"/>
  <c r="M960" i="1"/>
  <c r="M954" i="1"/>
  <c r="M40" i="1"/>
  <c r="M135" i="1"/>
  <c r="M287" i="1"/>
  <c r="M772" i="1"/>
  <c r="M759" i="1"/>
  <c r="M871" i="1"/>
  <c r="M858" i="1"/>
  <c r="M746" i="1"/>
  <c r="M905" i="1"/>
  <c r="M451" i="1"/>
  <c r="M200" i="1"/>
  <c r="M733" i="1"/>
  <c r="M399" i="1"/>
  <c r="M712" i="1"/>
  <c r="M685" i="1"/>
  <c r="J755" i="1"/>
  <c r="M755" i="1" s="1"/>
  <c r="J863" i="1"/>
  <c r="M863" i="1" s="1"/>
  <c r="J938" i="1"/>
  <c r="M938" i="1" s="1"/>
  <c r="J758" i="1"/>
  <c r="M758" i="1" s="1"/>
  <c r="J608" i="1"/>
  <c r="M608" i="1" s="1"/>
  <c r="J603" i="1"/>
  <c r="M603" i="1" s="1"/>
  <c r="J595" i="1"/>
  <c r="M595" i="1" s="1"/>
  <c r="J588" i="1"/>
  <c r="M588" i="1" s="1"/>
  <c r="J580" i="1"/>
  <c r="M580" i="1" s="1"/>
  <c r="J570" i="1"/>
  <c r="M570" i="1" s="1"/>
  <c r="J562" i="1"/>
  <c r="M562" i="1" s="1"/>
  <c r="J870" i="1"/>
  <c r="M870" i="1" s="1"/>
  <c r="J555" i="1"/>
  <c r="M555" i="1" s="1"/>
  <c r="J278" i="1"/>
  <c r="M278" i="1" s="1"/>
  <c r="J549" i="1"/>
  <c r="M549" i="1" s="1"/>
  <c r="J866" i="1"/>
  <c r="M866" i="1" s="1"/>
  <c r="J541" i="1"/>
  <c r="M541" i="1" s="1"/>
  <c r="J533" i="1"/>
  <c r="M533" i="1" s="1"/>
  <c r="J526" i="1"/>
  <c r="M526" i="1" s="1"/>
  <c r="J857" i="1"/>
  <c r="M857" i="1" s="1"/>
  <c r="J72" i="1"/>
  <c r="M72" i="1" s="1"/>
  <c r="J516" i="1"/>
  <c r="M516" i="1" s="1"/>
  <c r="J27" i="1"/>
  <c r="M27" i="1" s="1"/>
  <c r="J265" i="1"/>
  <c r="M265" i="1" s="1"/>
  <c r="J512" i="1"/>
  <c r="M512" i="1" s="1"/>
  <c r="J907" i="1"/>
  <c r="M907" i="1" s="1"/>
  <c r="J753" i="1"/>
  <c r="M753" i="1" s="1"/>
  <c r="J503" i="1"/>
  <c r="M503" i="1" s="1"/>
  <c r="J493" i="1"/>
  <c r="M493" i="1" s="1"/>
  <c r="J485" i="1"/>
  <c r="M485" i="1" s="1"/>
  <c r="J478" i="1"/>
  <c r="M478" i="1" s="1"/>
  <c r="J744" i="1"/>
  <c r="M744" i="1" s="1"/>
  <c r="J736" i="1"/>
  <c r="M736" i="1" s="1"/>
  <c r="J127" i="1"/>
  <c r="M127" i="1" s="1"/>
  <c r="J255" i="1"/>
  <c r="M255" i="1" s="1"/>
  <c r="J940" i="1"/>
  <c r="M940" i="1" s="1"/>
  <c r="J934" i="1"/>
  <c r="M934" i="1" s="1"/>
  <c r="J927" i="1"/>
  <c r="M927" i="1" s="1"/>
  <c r="J117" i="1"/>
  <c r="M117" i="1" s="1"/>
  <c r="J109" i="1"/>
  <c r="M109" i="1" s="1"/>
  <c r="J469" i="1"/>
  <c r="M469" i="1" s="1"/>
  <c r="J465" i="1"/>
  <c r="M465" i="1" s="1"/>
  <c r="J458" i="1"/>
  <c r="M458" i="1" s="1"/>
  <c r="J247" i="1"/>
  <c r="M247" i="1" s="1"/>
  <c r="J449" i="1"/>
  <c r="M449" i="1" s="1"/>
  <c r="J235" i="1"/>
  <c r="M235" i="1" s="1"/>
  <c r="J234" i="1"/>
  <c r="M234" i="1" s="1"/>
  <c r="J439" i="1"/>
  <c r="M439" i="1" s="1"/>
  <c r="J222" i="1"/>
  <c r="M222" i="1" s="1"/>
  <c r="J215" i="1"/>
  <c r="M215" i="1" s="1"/>
  <c r="J207" i="1"/>
  <c r="M207" i="1" s="1"/>
  <c r="J199" i="1"/>
  <c r="M199" i="1" s="1"/>
  <c r="J193" i="1"/>
  <c r="M193" i="1" s="1"/>
  <c r="J26" i="1"/>
  <c r="M26" i="1" s="1"/>
  <c r="J18" i="1"/>
  <c r="M18" i="1" s="1"/>
  <c r="J429" i="1"/>
  <c r="M429" i="1" s="1"/>
  <c r="J183" i="1"/>
  <c r="M183" i="1" s="1"/>
  <c r="J853" i="1"/>
  <c r="M853" i="1" s="1"/>
  <c r="J926" i="1"/>
  <c r="M926" i="1" s="1"/>
  <c r="J732" i="1"/>
  <c r="M732" i="1" s="1"/>
  <c r="J424" i="1"/>
  <c r="M424" i="1" s="1"/>
  <c r="J15" i="1"/>
  <c r="M15" i="1" s="1"/>
  <c r="J417" i="1"/>
  <c r="M417" i="1" s="1"/>
  <c r="J173" i="1"/>
  <c r="M173" i="1" s="1"/>
  <c r="J165" i="1"/>
  <c r="M165" i="1" s="1"/>
  <c r="J412" i="1"/>
  <c r="M412" i="1" s="1"/>
  <c r="J404" i="1"/>
  <c r="M404" i="1" s="1"/>
  <c r="J398" i="1"/>
  <c r="M398" i="1" s="1"/>
  <c r="J824" i="1"/>
  <c r="M824" i="1" s="1"/>
  <c r="J393" i="1"/>
  <c r="M393" i="1" s="1"/>
  <c r="J157" i="1"/>
  <c r="M157" i="1" s="1"/>
  <c r="J2" i="1"/>
  <c r="M2" i="1" s="1"/>
  <c r="J725" i="1"/>
  <c r="M725" i="1" s="1"/>
  <c r="J388" i="1"/>
  <c r="M388" i="1" s="1"/>
  <c r="J380" i="1"/>
  <c r="M380" i="1" s="1"/>
  <c r="J711" i="1"/>
  <c r="M711" i="1" s="1"/>
  <c r="J703" i="1"/>
  <c r="M703" i="1" s="1"/>
  <c r="J331" i="1"/>
  <c r="M331" i="1" s="1"/>
  <c r="J103" i="1"/>
  <c r="M103" i="1" s="1"/>
  <c r="J693" i="1"/>
  <c r="M693" i="1" s="1"/>
  <c r="J99" i="1"/>
  <c r="M99" i="1" s="1"/>
  <c r="J91" i="1"/>
  <c r="M91" i="1" s="1"/>
  <c r="J329" i="1"/>
  <c r="M329" i="1" s="1"/>
  <c r="J684" i="1"/>
  <c r="M684" i="1" s="1"/>
  <c r="J832" i="1"/>
  <c r="M832" i="1" s="1"/>
  <c r="J355" i="1"/>
  <c r="M355" i="1" s="1"/>
  <c r="J679" i="1"/>
  <c r="M679" i="1" s="1"/>
  <c r="M647" i="1"/>
  <c r="M317" i="1"/>
  <c r="M817" i="1"/>
  <c r="M810" i="1"/>
  <c r="M148" i="1"/>
  <c r="M140" i="1"/>
  <c r="M800" i="1"/>
  <c r="M792" i="1"/>
  <c r="M60" i="1"/>
  <c r="M644" i="1"/>
  <c r="M635" i="1"/>
  <c r="M58" i="1"/>
  <c r="M985" i="1"/>
  <c r="M977" i="1"/>
  <c r="M631" i="1"/>
  <c r="M967" i="1"/>
  <c r="M303" i="1"/>
  <c r="M627" i="1"/>
  <c r="M787" i="1"/>
  <c r="M891" i="1"/>
  <c r="M620" i="1"/>
  <c r="M55" i="1"/>
  <c r="M47" i="1"/>
  <c r="M293" i="1"/>
  <c r="M887" i="1"/>
  <c r="M879" i="1"/>
  <c r="M959" i="1"/>
  <c r="M952" i="1"/>
  <c r="M39" i="1"/>
  <c r="M134" i="1"/>
  <c r="M285" i="1"/>
  <c r="M771" i="1"/>
  <c r="M609" i="1"/>
  <c r="M556" i="1"/>
  <c r="M34" i="1"/>
  <c r="M494" i="1"/>
  <c r="M903" i="1"/>
  <c r="M450" i="1"/>
  <c r="M194" i="1"/>
  <c r="M842" i="1"/>
  <c r="M837" i="1"/>
  <c r="J763" i="1"/>
  <c r="M763" i="1" s="1"/>
  <c r="J275" i="1"/>
  <c r="M275" i="1" s="1"/>
  <c r="J944" i="1"/>
  <c r="M944" i="1" s="1"/>
  <c r="J757" i="1"/>
  <c r="M757" i="1" s="1"/>
  <c r="J714" i="1"/>
  <c r="M714" i="1" s="1"/>
  <c r="J602" i="1"/>
  <c r="M602" i="1" s="1"/>
  <c r="J594" i="1"/>
  <c r="M594" i="1" s="1"/>
  <c r="J587" i="1"/>
  <c r="M587" i="1" s="1"/>
  <c r="J579" i="1"/>
  <c r="M579" i="1" s="1"/>
  <c r="J569" i="1"/>
  <c r="M569" i="1" s="1"/>
  <c r="J561" i="1"/>
  <c r="M561" i="1" s="1"/>
  <c r="J869" i="1"/>
  <c r="M869" i="1" s="1"/>
  <c r="J554" i="1"/>
  <c r="M554" i="1" s="1"/>
  <c r="J277" i="1"/>
  <c r="M277" i="1" s="1"/>
  <c r="J548" i="1"/>
  <c r="M548" i="1" s="1"/>
  <c r="J865" i="1"/>
  <c r="M865" i="1" s="1"/>
  <c r="J540" i="1"/>
  <c r="M540" i="1" s="1"/>
  <c r="J600" i="1"/>
  <c r="M600" i="1" s="1"/>
  <c r="J525" i="1"/>
  <c r="M525" i="1" s="1"/>
  <c r="J856" i="1"/>
  <c r="M856" i="1" s="1"/>
  <c r="J521" i="1"/>
  <c r="M521" i="1" s="1"/>
  <c r="J33" i="1"/>
  <c r="M33" i="1" s="1"/>
  <c r="J272" i="1"/>
  <c r="M272" i="1" s="1"/>
  <c r="J264" i="1"/>
  <c r="M264" i="1" s="1"/>
  <c r="J511" i="1"/>
  <c r="M511" i="1" s="1"/>
  <c r="J949" i="1"/>
  <c r="M949" i="1" s="1"/>
  <c r="J752" i="1"/>
  <c r="M752" i="1" s="1"/>
  <c r="J502" i="1"/>
  <c r="M502" i="1" s="1"/>
  <c r="J492" i="1"/>
  <c r="M492" i="1" s="1"/>
  <c r="J484" i="1"/>
  <c r="M484" i="1" s="1"/>
  <c r="J477" i="1"/>
  <c r="M477" i="1" s="1"/>
  <c r="J743" i="1"/>
  <c r="M743" i="1" s="1"/>
  <c r="J663" i="1"/>
  <c r="M663" i="1" s="1"/>
  <c r="J126" i="1"/>
  <c r="M126" i="1" s="1"/>
  <c r="J254" i="1"/>
  <c r="M254" i="1" s="1"/>
  <c r="J904" i="1"/>
  <c r="M904" i="1" s="1"/>
  <c r="J933" i="1"/>
  <c r="M933" i="1" s="1"/>
  <c r="J124" i="1"/>
  <c r="M124" i="1" s="1"/>
  <c r="J116" i="1"/>
  <c r="M116" i="1" s="1"/>
  <c r="J108" i="1"/>
  <c r="M108" i="1" s="1"/>
  <c r="J468" i="1"/>
  <c r="M468" i="1" s="1"/>
  <c r="J248" i="1"/>
  <c r="M248" i="1" s="1"/>
  <c r="J457" i="1"/>
  <c r="M457" i="1" s="1"/>
  <c r="J246" i="1"/>
  <c r="M246" i="1" s="1"/>
  <c r="J448" i="1"/>
  <c r="M448" i="1" s="1"/>
  <c r="J233" i="1"/>
  <c r="M233" i="1" s="1"/>
  <c r="J446" i="1"/>
  <c r="M446" i="1" s="1"/>
  <c r="J438" i="1"/>
  <c r="M438" i="1" s="1"/>
  <c r="J221" i="1"/>
  <c r="M221" i="1" s="1"/>
  <c r="J214" i="1"/>
  <c r="M214" i="1" s="1"/>
  <c r="J206" i="1"/>
  <c r="M206" i="1" s="1"/>
  <c r="J198" i="1"/>
  <c r="M198" i="1" s="1"/>
  <c r="J192" i="1"/>
  <c r="M192" i="1" s="1"/>
  <c r="J25" i="1"/>
  <c r="M25" i="1" s="1"/>
  <c r="J17" i="1"/>
  <c r="M17" i="1" s="1"/>
  <c r="J428" i="1"/>
  <c r="M428" i="1" s="1"/>
  <c r="J182" i="1"/>
  <c r="M182" i="1" s="1"/>
  <c r="J852" i="1"/>
  <c r="M852" i="1" s="1"/>
  <c r="J925" i="1"/>
  <c r="M925" i="1" s="1"/>
  <c r="J731" i="1"/>
  <c r="M731" i="1" s="1"/>
  <c r="J423" i="1"/>
  <c r="M423" i="1" s="1"/>
  <c r="J14" i="1"/>
  <c r="M14" i="1" s="1"/>
  <c r="J335" i="1"/>
  <c r="M335" i="1" s="1"/>
  <c r="J172" i="1"/>
  <c r="M172" i="1" s="1"/>
  <c r="J164" i="1"/>
  <c r="M164" i="1" s="1"/>
  <c r="J411" i="1"/>
  <c r="M411" i="1" s="1"/>
  <c r="J405" i="1"/>
  <c r="M405" i="1" s="1"/>
  <c r="J397" i="1"/>
  <c r="M397" i="1" s="1"/>
  <c r="J836" i="1"/>
  <c r="M836" i="1" s="1"/>
  <c r="J392" i="1"/>
  <c r="M392" i="1" s="1"/>
  <c r="J156" i="1"/>
  <c r="M156" i="1" s="1"/>
  <c r="J154" i="1"/>
  <c r="M154" i="1" s="1"/>
  <c r="J724" i="1"/>
  <c r="M724" i="1" s="1"/>
  <c r="J387" i="1"/>
  <c r="M387" i="1" s="1"/>
  <c r="J719" i="1"/>
  <c r="M719" i="1" s="1"/>
  <c r="J709" i="1"/>
  <c r="M709" i="1" s="1"/>
  <c r="J702" i="1"/>
  <c r="M702" i="1" s="1"/>
  <c r="J375" i="1"/>
  <c r="M375" i="1" s="1"/>
  <c r="J102" i="1"/>
  <c r="M102" i="1" s="1"/>
  <c r="J692" i="1"/>
  <c r="M692" i="1" s="1"/>
  <c r="J98" i="1"/>
  <c r="M98" i="1" s="1"/>
  <c r="J372" i="1"/>
  <c r="M372" i="1" s="1"/>
  <c r="J366" i="1"/>
  <c r="M366" i="1" s="1"/>
  <c r="J683" i="1"/>
  <c r="M683" i="1" s="1"/>
  <c r="J831" i="1"/>
  <c r="M831" i="1" s="1"/>
  <c r="J354" i="1"/>
  <c r="M354" i="1" s="1"/>
  <c r="J678" i="1"/>
  <c r="M678" i="1" s="1"/>
  <c r="M653" i="1"/>
  <c r="M646" i="1"/>
  <c r="M316" i="1"/>
  <c r="M816" i="1"/>
  <c r="M809" i="1"/>
  <c r="M147" i="1"/>
  <c r="M139" i="1"/>
  <c r="M799" i="1"/>
  <c r="M67" i="1"/>
  <c r="M59" i="1"/>
  <c r="M643" i="1"/>
  <c r="M900" i="1"/>
  <c r="M57" i="1"/>
  <c r="M984" i="1"/>
  <c r="M976" i="1"/>
  <c r="M630" i="1"/>
  <c r="M966" i="1"/>
  <c r="M302" i="1"/>
  <c r="M626" i="1"/>
  <c r="M786" i="1"/>
  <c r="M890" i="1"/>
  <c r="M619" i="1"/>
  <c r="M54" i="1"/>
  <c r="M46" i="1"/>
  <c r="M782" i="1"/>
  <c r="M886" i="1"/>
  <c r="M878" i="1"/>
  <c r="M958" i="1"/>
  <c r="M951" i="1"/>
  <c r="M38" i="1"/>
  <c r="M133" i="1"/>
  <c r="M284" i="1"/>
  <c r="M770" i="1"/>
  <c r="M656" i="1"/>
  <c r="M279" i="1"/>
  <c r="M517" i="1"/>
  <c r="M486" i="1"/>
  <c r="M928" i="1"/>
  <c r="M236" i="1"/>
  <c r="M186" i="1"/>
  <c r="M16" i="1"/>
  <c r="J592" i="1"/>
  <c r="M592" i="1" s="1"/>
  <c r="J750" i="1"/>
  <c r="M750" i="1" s="1"/>
  <c r="J764" i="1"/>
  <c r="M764" i="1" s="1"/>
  <c r="J756" i="1"/>
  <c r="M756" i="1" s="1"/>
  <c r="J607" i="1"/>
  <c r="M607" i="1" s="1"/>
  <c r="J655" i="1"/>
  <c r="M655" i="1" s="1"/>
  <c r="J593" i="1"/>
  <c r="M593" i="1" s="1"/>
  <c r="J586" i="1"/>
  <c r="M586" i="1" s="1"/>
  <c r="J578" i="1"/>
  <c r="M578" i="1" s="1"/>
  <c r="J568" i="1"/>
  <c r="M568" i="1" s="1"/>
  <c r="J560" i="1"/>
  <c r="M560" i="1" s="1"/>
  <c r="J826" i="1"/>
  <c r="M826" i="1" s="1"/>
  <c r="J553" i="1"/>
  <c r="M553" i="1" s="1"/>
  <c r="J276" i="1"/>
  <c r="M276" i="1" s="1"/>
  <c r="J547" i="1"/>
  <c r="M547" i="1" s="1"/>
  <c r="J864" i="1"/>
  <c r="M864" i="1" s="1"/>
  <c r="J539" i="1"/>
  <c r="M539" i="1" s="1"/>
  <c r="J532" i="1"/>
  <c r="M532" i="1" s="1"/>
  <c r="J524" i="1"/>
  <c r="M524" i="1" s="1"/>
  <c r="J855" i="1"/>
  <c r="M855" i="1" s="1"/>
  <c r="J520" i="1"/>
  <c r="M520" i="1" s="1"/>
  <c r="J32" i="1"/>
  <c r="M32" i="1" s="1"/>
  <c r="J271" i="1"/>
  <c r="M271" i="1" s="1"/>
  <c r="J263" i="1"/>
  <c r="M263" i="1" s="1"/>
  <c r="J510" i="1"/>
  <c r="M510" i="1" s="1"/>
  <c r="J948" i="1"/>
  <c r="M948" i="1" s="1"/>
  <c r="J751" i="1"/>
  <c r="M751" i="1" s="1"/>
  <c r="J501" i="1"/>
  <c r="M501" i="1" s="1"/>
  <c r="J491" i="1"/>
  <c r="M491" i="1" s="1"/>
  <c r="J483" i="1"/>
  <c r="M483" i="1" s="1"/>
  <c r="J500" i="1"/>
  <c r="M500" i="1" s="1"/>
  <c r="J742" i="1"/>
  <c r="M742" i="1" s="1"/>
  <c r="J735" i="1"/>
  <c r="M735" i="1" s="1"/>
  <c r="J260" i="1"/>
  <c r="M260" i="1" s="1"/>
  <c r="J253" i="1"/>
  <c r="M253" i="1" s="1"/>
  <c r="J939" i="1"/>
  <c r="M939" i="1" s="1"/>
  <c r="J902" i="1"/>
  <c r="M902" i="1" s="1"/>
  <c r="J123" i="1"/>
  <c r="M123" i="1" s="1"/>
  <c r="J115" i="1"/>
  <c r="M115" i="1" s="1"/>
  <c r="J106" i="1"/>
  <c r="M106" i="1" s="1"/>
  <c r="J467" i="1"/>
  <c r="M467" i="1" s="1"/>
  <c r="J464" i="1"/>
  <c r="M464" i="1" s="1"/>
  <c r="J456" i="1"/>
  <c r="M456" i="1" s="1"/>
  <c r="J245" i="1"/>
  <c r="M245" i="1" s="1"/>
  <c r="J447" i="1"/>
  <c r="M447" i="1" s="1"/>
  <c r="J232" i="1"/>
  <c r="M232" i="1" s="1"/>
  <c r="J445" i="1"/>
  <c r="M445" i="1" s="1"/>
  <c r="J437" i="1"/>
  <c r="M437" i="1" s="1"/>
  <c r="J324" i="1"/>
  <c r="M324" i="1" s="1"/>
  <c r="J213" i="1"/>
  <c r="M213" i="1" s="1"/>
  <c r="J205" i="1"/>
  <c r="M205" i="1" s="1"/>
  <c r="J197" i="1"/>
  <c r="M197" i="1" s="1"/>
  <c r="J191" i="1"/>
  <c r="M191" i="1" s="1"/>
  <c r="J24" i="1"/>
  <c r="M24" i="1" s="1"/>
  <c r="J436" i="1"/>
  <c r="M436" i="1" s="1"/>
  <c r="J427" i="1"/>
  <c r="M427" i="1" s="1"/>
  <c r="J181" i="1"/>
  <c r="M181" i="1" s="1"/>
  <c r="J851" i="1"/>
  <c r="M851" i="1" s="1"/>
  <c r="J924" i="1"/>
  <c r="M924" i="1" s="1"/>
  <c r="J730" i="1"/>
  <c r="M730" i="1" s="1"/>
  <c r="J422" i="1"/>
  <c r="M422" i="1" s="1"/>
  <c r="J13" i="1"/>
  <c r="M13" i="1" s="1"/>
  <c r="J334" i="1"/>
  <c r="M334" i="1" s="1"/>
  <c r="J171" i="1"/>
  <c r="M171" i="1" s="1"/>
  <c r="J226" i="1"/>
  <c r="M226" i="1" s="1"/>
  <c r="J410" i="1"/>
  <c r="M410" i="1" s="1"/>
  <c r="J403" i="1"/>
  <c r="M403" i="1" s="1"/>
  <c r="J396" i="1"/>
  <c r="M396" i="1" s="1"/>
  <c r="J835" i="1"/>
  <c r="M835" i="1" s="1"/>
  <c r="J391" i="1"/>
  <c r="M391" i="1" s="1"/>
  <c r="J155" i="1"/>
  <c r="M155" i="1" s="1"/>
  <c r="J153" i="1"/>
  <c r="M153" i="1" s="1"/>
  <c r="J723" i="1"/>
  <c r="M723" i="1" s="1"/>
  <c r="J386" i="1"/>
  <c r="M386" i="1" s="1"/>
  <c r="J718" i="1"/>
  <c r="M718" i="1" s="1"/>
  <c r="J708" i="1"/>
  <c r="M708" i="1" s="1"/>
  <c r="J701" i="1"/>
  <c r="M701" i="1" s="1"/>
  <c r="J374" i="1"/>
  <c r="M374" i="1" s="1"/>
  <c r="J101" i="1"/>
  <c r="M101" i="1" s="1"/>
  <c r="J691" i="1"/>
  <c r="M691" i="1" s="1"/>
  <c r="J97" i="1"/>
  <c r="M97" i="1" s="1"/>
  <c r="J371" i="1"/>
  <c r="M371" i="1" s="1"/>
  <c r="J364" i="1"/>
  <c r="M364" i="1" s="1"/>
  <c r="J682" i="1"/>
  <c r="M682" i="1" s="1"/>
  <c r="J830" i="1"/>
  <c r="M830" i="1" s="1"/>
  <c r="J353" i="1"/>
  <c r="M353" i="1" s="1"/>
  <c r="J677" i="1"/>
  <c r="M677" i="1" s="1"/>
  <c r="M652" i="1"/>
  <c r="M645" i="1"/>
  <c r="M315" i="1"/>
  <c r="M815" i="1"/>
  <c r="M808" i="1"/>
  <c r="M146" i="1"/>
  <c r="M806" i="1"/>
  <c r="M798" i="1"/>
  <c r="M66" i="1"/>
  <c r="M313" i="1"/>
  <c r="M642" i="1"/>
  <c r="M899" i="1"/>
  <c r="M56" i="1"/>
  <c r="M983" i="1"/>
  <c r="M975" i="1"/>
  <c r="M973" i="1"/>
  <c r="M965" i="1"/>
  <c r="M301" i="1"/>
  <c r="M625" i="1"/>
  <c r="M822" i="1"/>
  <c r="M889" i="1"/>
  <c r="M618" i="1"/>
  <c r="M53" i="1"/>
  <c r="M45" i="1"/>
  <c r="M781" i="1"/>
  <c r="M885" i="1"/>
  <c r="M877" i="1"/>
  <c r="M957" i="1"/>
  <c r="M950" i="1"/>
  <c r="M37" i="1"/>
  <c r="M132" i="1"/>
  <c r="M283" i="1"/>
  <c r="M769" i="1"/>
  <c r="M596" i="1"/>
  <c r="M550" i="1"/>
  <c r="M28" i="1"/>
  <c r="M479" i="1"/>
  <c r="M118" i="1"/>
  <c r="M227" i="1"/>
  <c r="M19" i="1"/>
  <c r="M8" i="1"/>
  <c r="M158" i="1"/>
  <c r="M104" i="1"/>
  <c r="M671" i="1"/>
  <c r="M84" i="1"/>
  <c r="M76" i="1"/>
  <c r="M343" i="1"/>
  <c r="M919" i="1"/>
  <c r="M912" i="1"/>
  <c r="M670" i="1"/>
  <c r="M337" i="1"/>
  <c r="M83" i="1"/>
  <c r="M75" i="1"/>
  <c r="M342" i="1"/>
  <c r="M918" i="1"/>
  <c r="M911" i="1"/>
  <c r="M669" i="1"/>
  <c r="M344" i="1"/>
  <c r="M82" i="1"/>
  <c r="M349" i="1"/>
  <c r="M341" i="1"/>
  <c r="M917" i="1"/>
  <c r="M910" i="1"/>
  <c r="M668" i="1"/>
  <c r="M913" i="1"/>
  <c r="M81" i="1"/>
  <c r="M348" i="1"/>
  <c r="M340" i="1"/>
  <c r="M901" i="1"/>
  <c r="M675" i="1"/>
  <c r="M667" i="1"/>
  <c r="M85" i="1"/>
  <c r="M80" i="1"/>
  <c r="M347" i="1"/>
  <c r="M328" i="1"/>
  <c r="M916" i="1"/>
  <c r="M674" i="1"/>
  <c r="M666" i="1"/>
  <c r="M77" i="1"/>
  <c r="M87" i="1"/>
  <c r="M79" i="1"/>
  <c r="M346" i="1"/>
  <c r="M339" i="1"/>
  <c r="M915" i="1"/>
  <c r="M673" i="1"/>
  <c r="M659" i="1"/>
  <c r="M86" i="1"/>
  <c r="M78" i="1"/>
  <c r="M345" i="1"/>
  <c r="M338" i="1"/>
  <c r="M914" i="1"/>
  <c r="M672" i="1"/>
  <c r="M665" i="1"/>
  <c r="M664" i="1"/>
</calcChain>
</file>

<file path=xl/sharedStrings.xml><?xml version="1.0" encoding="utf-8"?>
<sst xmlns="http://schemas.openxmlformats.org/spreadsheetml/2006/main" count="2997" uniqueCount="1137">
  <si>
    <t>Product_ID</t>
  </si>
  <si>
    <t>Product_Name</t>
  </si>
  <si>
    <t>Catagory</t>
  </si>
  <si>
    <t>Order_Date</t>
  </si>
  <si>
    <t>Stock_Quantity</t>
  </si>
  <si>
    <t>Order_Frequency</t>
  </si>
  <si>
    <t>Reorder_Level</t>
  </si>
  <si>
    <t>Reorder_Quantity</t>
  </si>
  <si>
    <t>Profit_Percentage</t>
  </si>
  <si>
    <t>Sales_Volume</t>
  </si>
  <si>
    <t>Turnover_Rate</t>
  </si>
  <si>
    <t>Status</t>
  </si>
  <si>
    <t>21-120-6238</t>
  </si>
  <si>
    <t>All-Purpose Flour</t>
  </si>
  <si>
    <t>Grains &amp; Pulses</t>
  </si>
  <si>
    <t>Optimal</t>
  </si>
  <si>
    <t>52-392-5312</t>
  </si>
  <si>
    <t>14-489-8669</t>
  </si>
  <si>
    <t>Understocked</t>
  </si>
  <si>
    <t>17-493-4579</t>
  </si>
  <si>
    <t>Almond Flour</t>
  </si>
  <si>
    <t>74-234-0628</t>
  </si>
  <si>
    <t>72-404-5581</t>
  </si>
  <si>
    <t>41-131-3841</t>
  </si>
  <si>
    <t>36-531-4087</t>
  </si>
  <si>
    <t>28-003-8065</t>
  </si>
  <si>
    <t>62-509-0666</t>
  </si>
  <si>
    <t>37-567-3218</t>
  </si>
  <si>
    <t>77-377-1659</t>
  </si>
  <si>
    <t>77-224-2227</t>
  </si>
  <si>
    <t>42-879-9478</t>
  </si>
  <si>
    <t>Anchovies</t>
  </si>
  <si>
    <t>Seafood</t>
  </si>
  <si>
    <t>08-114-3922</t>
  </si>
  <si>
    <t>10-445-0741</t>
  </si>
  <si>
    <t>28-275-5901</t>
  </si>
  <si>
    <t>47-578-4161</t>
  </si>
  <si>
    <t>71-067-3278</t>
  </si>
  <si>
    <t>64-109-7362</t>
  </si>
  <si>
    <t>27-681-5588</t>
  </si>
  <si>
    <t>24-579-6500</t>
  </si>
  <si>
    <t>66-312-5511</t>
  </si>
  <si>
    <t>71-954-4501</t>
  </si>
  <si>
    <t>14-836-2894</t>
  </si>
  <si>
    <t>Apple</t>
  </si>
  <si>
    <t>Fruits &amp; Vegetables</t>
  </si>
  <si>
    <t>17-022-9721</t>
  </si>
  <si>
    <t>00-405-7428</t>
  </si>
  <si>
    <t>46-415-8633</t>
  </si>
  <si>
    <t>61-680-9496</t>
  </si>
  <si>
    <t>70-005-5970</t>
  </si>
  <si>
    <t>15-884-7413</t>
  </si>
  <si>
    <t>15-905-7750</t>
  </si>
  <si>
    <t>Apricot</t>
  </si>
  <si>
    <t>16-380-0753</t>
  </si>
  <si>
    <t>15-082-9124</t>
  </si>
  <si>
    <t>04-637-8815</t>
  </si>
  <si>
    <t>61-582-7399</t>
  </si>
  <si>
    <t>34-369-7712</t>
  </si>
  <si>
    <t>68-977-6854</t>
  </si>
  <si>
    <t>40-681-9981</t>
  </si>
  <si>
    <t>Arabica Coffee</t>
  </si>
  <si>
    <t>Beverages</t>
  </si>
  <si>
    <t>55-154-4728</t>
  </si>
  <si>
    <t>11-155-7826</t>
  </si>
  <si>
    <t>31-969-4614</t>
  </si>
  <si>
    <t>35-617-3857</t>
  </si>
  <si>
    <t>48-427-0551</t>
  </si>
  <si>
    <t>59-725-4038</t>
  </si>
  <si>
    <t>40-860-4532</t>
  </si>
  <si>
    <t>83-704-6367</t>
  </si>
  <si>
    <t>76-954-1442</t>
  </si>
  <si>
    <t>43-469-7551</t>
  </si>
  <si>
    <t>84-629-1532</t>
  </si>
  <si>
    <t>86-330-0214</t>
  </si>
  <si>
    <t>16-632-1308</t>
  </si>
  <si>
    <t>48-414-6162</t>
  </si>
  <si>
    <t>80-459-5950</t>
  </si>
  <si>
    <t>95-640-0293</t>
  </si>
  <si>
    <t>Arborio Rice</t>
  </si>
  <si>
    <t>12-093-9863</t>
  </si>
  <si>
    <t>41-316-8427</t>
  </si>
  <si>
    <t>29-592-7315</t>
  </si>
  <si>
    <t>95-357-2870</t>
  </si>
  <si>
    <t>39-232-5341</t>
  </si>
  <si>
    <t>83-117-7658</t>
  </si>
  <si>
    <t>Asparagus</t>
  </si>
  <si>
    <t>83-625-3618</t>
  </si>
  <si>
    <t>40-902-1995</t>
  </si>
  <si>
    <t>98-235-2711</t>
  </si>
  <si>
    <t>31-803-5001</t>
  </si>
  <si>
    <t>20-448-2972</t>
  </si>
  <si>
    <t>82-931-7126</t>
  </si>
  <si>
    <t>89-624-7462</t>
  </si>
  <si>
    <t>90-343-9640</t>
  </si>
  <si>
    <t>Avocado Oil</t>
  </si>
  <si>
    <t>Oils &amp; Fats</t>
  </si>
  <si>
    <t>05-899-1428</t>
  </si>
  <si>
    <t>14-331-3739</t>
  </si>
  <si>
    <t>86-692-2312</t>
  </si>
  <si>
    <t>88-602-8210</t>
  </si>
  <si>
    <t>00-357-2313</t>
  </si>
  <si>
    <t>58-219-0241</t>
  </si>
  <si>
    <t>48-957-8596</t>
  </si>
  <si>
    <t>Banana</t>
  </si>
  <si>
    <t>69-561-2496</t>
  </si>
  <si>
    <t>93-772-3085</t>
  </si>
  <si>
    <t>87-698-0944</t>
  </si>
  <si>
    <t>47-663-5703</t>
  </si>
  <si>
    <t>Basmati Rice</t>
  </si>
  <si>
    <t>77-777-4536</t>
  </si>
  <si>
    <t>10-255-8579</t>
  </si>
  <si>
    <t>36-372-2295</t>
  </si>
  <si>
    <t>39-358-3340</t>
  </si>
  <si>
    <t>83-727-0814</t>
  </si>
  <si>
    <t>29-017-6255</t>
  </si>
  <si>
    <t>Bell Pepper</t>
  </si>
  <si>
    <t>07-970-9352</t>
  </si>
  <si>
    <t>13-900-9016</t>
  </si>
  <si>
    <t>73-997-6251</t>
  </si>
  <si>
    <t>33-440-2588</t>
  </si>
  <si>
    <t>67-130-4114</t>
  </si>
  <si>
    <t>08-226-5155</t>
  </si>
  <si>
    <t>34-110-1040</t>
  </si>
  <si>
    <t>64-119-7804</t>
  </si>
  <si>
    <t>36-679-4670</t>
  </si>
  <si>
    <t>58-063-8633</t>
  </si>
  <si>
    <t>96-316-7600</t>
  </si>
  <si>
    <t>05-184-4175</t>
  </si>
  <si>
    <t>Black Coffee</t>
  </si>
  <si>
    <t>47-221-3391</t>
  </si>
  <si>
    <t>88-951-9038</t>
  </si>
  <si>
    <t>14-844-4138</t>
  </si>
  <si>
    <t>21-816-1004</t>
  </si>
  <si>
    <t>00-641-8691</t>
  </si>
  <si>
    <t>00-534-9775</t>
  </si>
  <si>
    <t>11-922-3342</t>
  </si>
  <si>
    <t>57-562-2358</t>
  </si>
  <si>
    <t>38-555-9147</t>
  </si>
  <si>
    <t>06-955-3428</t>
  </si>
  <si>
    <t>Black Rice</t>
  </si>
  <si>
    <t>30-429-2162</t>
  </si>
  <si>
    <t>65-854-9364</t>
  </si>
  <si>
    <t>80-020-8041</t>
  </si>
  <si>
    <t>70-587-1204</t>
  </si>
  <si>
    <t>90-737-0044</t>
  </si>
  <si>
    <t>45-050-4720</t>
  </si>
  <si>
    <t>60-911-3745</t>
  </si>
  <si>
    <t>57-779-4955</t>
  </si>
  <si>
    <t>36-636-4873</t>
  </si>
  <si>
    <t>10-249-7928</t>
  </si>
  <si>
    <t>90-128-7973</t>
  </si>
  <si>
    <t>85-806-8672</t>
  </si>
  <si>
    <t>Black Tea</t>
  </si>
  <si>
    <t>58-122-2282</t>
  </si>
  <si>
    <t>67-473-7093</t>
  </si>
  <si>
    <t>92-152-5820</t>
  </si>
  <si>
    <t>16-187-5729</t>
  </si>
  <si>
    <t>95-262-6208</t>
  </si>
  <si>
    <t>78-237-0277</t>
  </si>
  <si>
    <t>66-378-7532</t>
  </si>
  <si>
    <t>Blueberries</t>
  </si>
  <si>
    <t>01-173-0029</t>
  </si>
  <si>
    <t>32-933-0329</t>
  </si>
  <si>
    <t>60-771-0879</t>
  </si>
  <si>
    <t>89-543-3456</t>
  </si>
  <si>
    <t>84-272-0790</t>
  </si>
  <si>
    <t>01-026-2772</t>
  </si>
  <si>
    <t>00-440-9568</t>
  </si>
  <si>
    <t>45-250-4679</t>
  </si>
  <si>
    <t>Bread Flour</t>
  </si>
  <si>
    <t>51-069-0489</t>
  </si>
  <si>
    <t>20-022-3173</t>
  </si>
  <si>
    <t>04-542-3863</t>
  </si>
  <si>
    <t>15-169-8058</t>
  </si>
  <si>
    <t>93-342-8794</t>
  </si>
  <si>
    <t>56-191-6497</t>
  </si>
  <si>
    <t>69-743-0161</t>
  </si>
  <si>
    <t>58-946-5152</t>
  </si>
  <si>
    <t>67-710-5120</t>
  </si>
  <si>
    <t>55-936-2406</t>
  </si>
  <si>
    <t>35-353-4068</t>
  </si>
  <si>
    <t>55-803-3964</t>
  </si>
  <si>
    <t>10-034-7654</t>
  </si>
  <si>
    <t>84-624-0201</t>
  </si>
  <si>
    <t>99-137-1730</t>
  </si>
  <si>
    <t>05-334-2923</t>
  </si>
  <si>
    <t>89-328-9019</t>
  </si>
  <si>
    <t>57-394-1587</t>
  </si>
  <si>
    <t>08-519-5579</t>
  </si>
  <si>
    <t>Broccoli</t>
  </si>
  <si>
    <t>71-300-2191</t>
  </si>
  <si>
    <t>52-402-9245</t>
  </si>
  <si>
    <t>72-066-4597</t>
  </si>
  <si>
    <t>37-246-0018</t>
  </si>
  <si>
    <t>19-021-5024</t>
  </si>
  <si>
    <t>28-008-2951</t>
  </si>
  <si>
    <t>94-029-2717</t>
  </si>
  <si>
    <t>35-529-2933</t>
  </si>
  <si>
    <t>81-844-2979</t>
  </si>
  <si>
    <t>94-598-3383</t>
  </si>
  <si>
    <t>Brown Rice</t>
  </si>
  <si>
    <t>89-335-0155</t>
  </si>
  <si>
    <t>84-151-2114</t>
  </si>
  <si>
    <t>56-875-3717</t>
  </si>
  <si>
    <t>30-591-7275</t>
  </si>
  <si>
    <t>69-171-1305</t>
  </si>
  <si>
    <t>67-725-6830</t>
  </si>
  <si>
    <t>69-578-7930</t>
  </si>
  <si>
    <t>73-117-6105</t>
  </si>
  <si>
    <t>19-672-8982</t>
  </si>
  <si>
    <t>Butter</t>
  </si>
  <si>
    <t>Dairy</t>
  </si>
  <si>
    <t>43-164-5984</t>
  </si>
  <si>
    <t>44-305-1866</t>
  </si>
  <si>
    <t>43-693-2092</t>
  </si>
  <si>
    <t>90-773-9557</t>
  </si>
  <si>
    <t>70-815-4015</t>
  </si>
  <si>
    <t>Butter Biscuit</t>
  </si>
  <si>
    <t>Bakery</t>
  </si>
  <si>
    <t>65-780-5622</t>
  </si>
  <si>
    <t>98-652-9569</t>
  </si>
  <si>
    <t>80-698-0324</t>
  </si>
  <si>
    <t>65-759-3721</t>
  </si>
  <si>
    <t>99-420-3592</t>
  </si>
  <si>
    <t>83-553-9523</t>
  </si>
  <si>
    <t>Buttermilk</t>
  </si>
  <si>
    <t>03-597-9488</t>
  </si>
  <si>
    <t>97-093-4278</t>
  </si>
  <si>
    <t>04-104-6993</t>
  </si>
  <si>
    <t>83-763-5038</t>
  </si>
  <si>
    <t>14-521-4167</t>
  </si>
  <si>
    <t>06-068-6793</t>
  </si>
  <si>
    <t>31-745-6850</t>
  </si>
  <si>
    <t>Cabbage</t>
  </si>
  <si>
    <t>67-025-1245</t>
  </si>
  <si>
    <t>21-013-3508</t>
  </si>
  <si>
    <t>45-380-4627</t>
  </si>
  <si>
    <t>10-378-9729</t>
  </si>
  <si>
    <t>79-428-8753</t>
  </si>
  <si>
    <t>82-538-4809</t>
  </si>
  <si>
    <t>75-927-9108</t>
  </si>
  <si>
    <t>50-679-2072</t>
  </si>
  <si>
    <t>Canola Oil</t>
  </si>
  <si>
    <t>48-193-1199</t>
  </si>
  <si>
    <t>77-013-1553</t>
  </si>
  <si>
    <t>42-134-9798</t>
  </si>
  <si>
    <t>78-953-2073</t>
  </si>
  <si>
    <t>11-604-6002</t>
  </si>
  <si>
    <t>24-143-4957</t>
  </si>
  <si>
    <t>10-854-5467</t>
  </si>
  <si>
    <t>84-075-7647</t>
  </si>
  <si>
    <t>11-581-9869</t>
  </si>
  <si>
    <t>Carrot</t>
  </si>
  <si>
    <t>68-636-4774</t>
  </si>
  <si>
    <t>34-709-9237</t>
  </si>
  <si>
    <t>95-252-9619</t>
  </si>
  <si>
    <t>40-126-0515</t>
  </si>
  <si>
    <t>05-720-8792</t>
  </si>
  <si>
    <t>94-190-5193</t>
  </si>
  <si>
    <t>47-843-8207</t>
  </si>
  <si>
    <t>Cauliflower</t>
  </si>
  <si>
    <t>71-436-5841</t>
  </si>
  <si>
    <t>74-642-2435</t>
  </si>
  <si>
    <t>02-888-9412</t>
  </si>
  <si>
    <t>37-666-3902</t>
  </si>
  <si>
    <t>38-664-2155</t>
  </si>
  <si>
    <t>54-822-9009</t>
  </si>
  <si>
    <t>05-498-7751</t>
  </si>
  <si>
    <t>07-337-9889</t>
  </si>
  <si>
    <t>74-132-5528</t>
  </si>
  <si>
    <t>94-092-3355</t>
  </si>
  <si>
    <t>99-194-5600</t>
  </si>
  <si>
    <t>67-248-6306</t>
  </si>
  <si>
    <t>88-401-3700</t>
  </si>
  <si>
    <t>15-562-3712</t>
  </si>
  <si>
    <t>62-393-9939</t>
  </si>
  <si>
    <t>Cheddar Cheese</t>
  </si>
  <si>
    <t>92-995-8689</t>
  </si>
  <si>
    <t>18-199-5799</t>
  </si>
  <si>
    <t>22-778-3553</t>
  </si>
  <si>
    <t>66-716-8221</t>
  </si>
  <si>
    <t>02-085-7218</t>
  </si>
  <si>
    <t>60-456-8169</t>
  </si>
  <si>
    <t>51-312-8608</t>
  </si>
  <si>
    <t>53-680-5293</t>
  </si>
  <si>
    <t>50-772-2613</t>
  </si>
  <si>
    <t>82-380-5378</t>
  </si>
  <si>
    <t>Cheese</t>
  </si>
  <si>
    <t>08-961-3009</t>
  </si>
  <si>
    <t>14-305-5348</t>
  </si>
  <si>
    <t>24-972-6969</t>
  </si>
  <si>
    <t>92-291-7089</t>
  </si>
  <si>
    <t>41-237-5498</t>
  </si>
  <si>
    <t>42-141-5718</t>
  </si>
  <si>
    <t>74-404-0582</t>
  </si>
  <si>
    <t>Cherry</t>
  </si>
  <si>
    <t>40-630-1431</t>
  </si>
  <si>
    <t>11-053-0107</t>
  </si>
  <si>
    <t>84-546-7624</t>
  </si>
  <si>
    <t>88-977-0175</t>
  </si>
  <si>
    <t>Chocolate Biscuit</t>
  </si>
  <si>
    <t>60-632-8752</t>
  </si>
  <si>
    <t>20-054-3716</t>
  </si>
  <si>
    <t>54-758-4622</t>
  </si>
  <si>
    <t>76-476-9996</t>
  </si>
  <si>
    <t>82-395-5070</t>
  </si>
  <si>
    <t>14-115-8371</t>
  </si>
  <si>
    <t>01-018-6418</t>
  </si>
  <si>
    <t>28-107-4953</t>
  </si>
  <si>
    <t>20-325-1965</t>
  </si>
  <si>
    <t>Coconut</t>
  </si>
  <si>
    <t>21-718-6746</t>
  </si>
  <si>
    <t>34-928-2775</t>
  </si>
  <si>
    <t>24-989-3302</t>
  </si>
  <si>
    <t>15-797-4824</t>
  </si>
  <si>
    <t>49-861-7823</t>
  </si>
  <si>
    <t>50-364-5828</t>
  </si>
  <si>
    <t>35-299-0889</t>
  </si>
  <si>
    <t>Coconut Oil</t>
  </si>
  <si>
    <t>42-907-6946</t>
  </si>
  <si>
    <t>52-029-2382</t>
  </si>
  <si>
    <t>96-164-0607</t>
  </si>
  <si>
    <t>10-626-8536</t>
  </si>
  <si>
    <t>Coconut Sugar</t>
  </si>
  <si>
    <t>02-895-7781</t>
  </si>
  <si>
    <t>04-277-5245</t>
  </si>
  <si>
    <t>07-617-6934</t>
  </si>
  <si>
    <t>21-633-8696</t>
  </si>
  <si>
    <t>57-763-5501</t>
  </si>
  <si>
    <t>Cod</t>
  </si>
  <si>
    <t>17-647-0503</t>
  </si>
  <si>
    <t>98-445-7372</t>
  </si>
  <si>
    <t>61-827-4098</t>
  </si>
  <si>
    <t>96-774-0457</t>
  </si>
  <si>
    <t>47-802-5023</t>
  </si>
  <si>
    <t>88-069-5486</t>
  </si>
  <si>
    <t>75-080-4909</t>
  </si>
  <si>
    <t>Corn Oil</t>
  </si>
  <si>
    <t>12-046-2988</t>
  </si>
  <si>
    <t>87-391-9658</t>
  </si>
  <si>
    <t>44-368-7112</t>
  </si>
  <si>
    <t>21-693-8216</t>
  </si>
  <si>
    <t>71-516-1996</t>
  </si>
  <si>
    <t>36-383-3677</t>
  </si>
  <si>
    <t>21-252-1360</t>
  </si>
  <si>
    <t>88-408-0310</t>
  </si>
  <si>
    <t>82-678-8097</t>
  </si>
  <si>
    <t>Cottage Cheese</t>
  </si>
  <si>
    <t>49-891-4927</t>
  </si>
  <si>
    <t>80-371-3695</t>
  </si>
  <si>
    <t>98-909-9395</t>
  </si>
  <si>
    <t>54-374-9986</t>
  </si>
  <si>
    <t>Cream</t>
  </si>
  <si>
    <t>49-730-0159</t>
  </si>
  <si>
    <t>58-229-1358</t>
  </si>
  <si>
    <t>12-798-9401</t>
  </si>
  <si>
    <t>46-931-6897</t>
  </si>
  <si>
    <t>56-937-8675</t>
  </si>
  <si>
    <t>03-833-3577</t>
  </si>
  <si>
    <t>Cucumber</t>
  </si>
  <si>
    <t>76-340-4432</t>
  </si>
  <si>
    <t>26-177-5690</t>
  </si>
  <si>
    <t>69-895-3397</t>
  </si>
  <si>
    <t>38-822-8005</t>
  </si>
  <si>
    <t>63-168-6018</t>
  </si>
  <si>
    <t>98-575-4736</t>
  </si>
  <si>
    <t>79-884-8810</t>
  </si>
  <si>
    <t>58-005-5343</t>
  </si>
  <si>
    <t>66-993-4234</t>
  </si>
  <si>
    <t>71-085-4290</t>
  </si>
  <si>
    <t>41-538-3129</t>
  </si>
  <si>
    <t>Digestive Biscuit</t>
  </si>
  <si>
    <t>34-291-4939</t>
  </si>
  <si>
    <t>89-673-1543</t>
  </si>
  <si>
    <t>93-813-2419</t>
  </si>
  <si>
    <t>91-290-9062</t>
  </si>
  <si>
    <t>51-583-6029</t>
  </si>
  <si>
    <t>16-354-8122</t>
  </si>
  <si>
    <t>29-436-6570</t>
  </si>
  <si>
    <t>29-756-7042</t>
  </si>
  <si>
    <t>47-441-7682</t>
  </si>
  <si>
    <t>40-913-9772</t>
  </si>
  <si>
    <t>Egg (Chicken)</t>
  </si>
  <si>
    <t>81-573-0943</t>
  </si>
  <si>
    <t>95-449-1286</t>
  </si>
  <si>
    <t>96-682-8546</t>
  </si>
  <si>
    <t>98-148-0940</t>
  </si>
  <si>
    <t>74-181-4135</t>
  </si>
  <si>
    <t>84-327-7787</t>
  </si>
  <si>
    <t>97-300-7511</t>
  </si>
  <si>
    <t>Egg (Duck)</t>
  </si>
  <si>
    <t>41-594-5069</t>
  </si>
  <si>
    <t>46-452-9419</t>
  </si>
  <si>
    <t>68-436-1268</t>
  </si>
  <si>
    <t>83-321-7887</t>
  </si>
  <si>
    <t>01-820-5784</t>
  </si>
  <si>
    <t>48-770-6319</t>
  </si>
  <si>
    <t>61-607-7622</t>
  </si>
  <si>
    <t>47-866-6589</t>
  </si>
  <si>
    <t>53-930-2215</t>
  </si>
  <si>
    <t>Egg (Goose)</t>
  </si>
  <si>
    <t>87-272-6544</t>
  </si>
  <si>
    <t>51-761-6320</t>
  </si>
  <si>
    <t>27-757-4489</t>
  </si>
  <si>
    <t>39-629-5554</t>
  </si>
  <si>
    <t>86-672-4191</t>
  </si>
  <si>
    <t>85-835-3445</t>
  </si>
  <si>
    <t>33-378-1365</t>
  </si>
  <si>
    <t>82-711-0772</t>
  </si>
  <si>
    <t>06-503-5891</t>
  </si>
  <si>
    <t>00-215-7434</t>
  </si>
  <si>
    <t>00-842-9790</t>
  </si>
  <si>
    <t>59-075-2457</t>
  </si>
  <si>
    <t>02-508-3777</t>
  </si>
  <si>
    <t>Egg (Quail)</t>
  </si>
  <si>
    <t>07-834-3320</t>
  </si>
  <si>
    <t>07-389-5740</t>
  </si>
  <si>
    <t>70-206-4860</t>
  </si>
  <si>
    <t>65-674-6076</t>
  </si>
  <si>
    <t>76-623-7844</t>
  </si>
  <si>
    <t>12-998-3882</t>
  </si>
  <si>
    <t>Egg (Turkey)</t>
  </si>
  <si>
    <t>10-218-2680</t>
  </si>
  <si>
    <t>60-327-4114</t>
  </si>
  <si>
    <t>85-212-2729</t>
  </si>
  <si>
    <t>39-768-8205</t>
  </si>
  <si>
    <t>13-798-3397</t>
  </si>
  <si>
    <t>67-512-9754</t>
  </si>
  <si>
    <t>24-364-3341</t>
  </si>
  <si>
    <t>65-368-2479</t>
  </si>
  <si>
    <t>36-177-0573</t>
  </si>
  <si>
    <t>13-144-2169</t>
  </si>
  <si>
    <t>Eggplant</t>
  </si>
  <si>
    <t>25-010-9478</t>
  </si>
  <si>
    <t>15-240-6267</t>
  </si>
  <si>
    <t>28-968-4195</t>
  </si>
  <si>
    <t>44-408-7594</t>
  </si>
  <si>
    <t>85-207-4164</t>
  </si>
  <si>
    <t>12-439-8428</t>
  </si>
  <si>
    <t>76-264-0748</t>
  </si>
  <si>
    <t>63-162-9244</t>
  </si>
  <si>
    <t>48-957-6116</t>
  </si>
  <si>
    <t>18-107-7886</t>
  </si>
  <si>
    <t>Evaporated Milk</t>
  </si>
  <si>
    <t>96-209-1739</t>
  </si>
  <si>
    <t>39-913-2999</t>
  </si>
  <si>
    <t>59-857-6577</t>
  </si>
  <si>
    <t>76-070-1411</t>
  </si>
  <si>
    <t>62-998-7250</t>
  </si>
  <si>
    <t>06-996-3221</t>
  </si>
  <si>
    <t>49-919-8798</t>
  </si>
  <si>
    <t>46-753-8430</t>
  </si>
  <si>
    <t>Feta Cheese</t>
  </si>
  <si>
    <t>27-459-0724</t>
  </si>
  <si>
    <t>27-783-5470</t>
  </si>
  <si>
    <t>39-449-0772</t>
  </si>
  <si>
    <t>91-553-1774</t>
  </si>
  <si>
    <t>95-349-0828</t>
  </si>
  <si>
    <t>13-202-4809</t>
  </si>
  <si>
    <t>Garlic</t>
  </si>
  <si>
    <t>80-227-6886</t>
  </si>
  <si>
    <t>83-917-7384</t>
  </si>
  <si>
    <t>57-359-3397</t>
  </si>
  <si>
    <t>85-440-3667</t>
  </si>
  <si>
    <t>Gouda Cheese</t>
  </si>
  <si>
    <t>25-522-6043</t>
  </si>
  <si>
    <t>18-278-2383</t>
  </si>
  <si>
    <t>81-578-7404</t>
  </si>
  <si>
    <t>21-890-2826</t>
  </si>
  <si>
    <t>57-613-5779</t>
  </si>
  <si>
    <t>70-542-4269</t>
  </si>
  <si>
    <t>80-025-6757</t>
  </si>
  <si>
    <t>Grapes</t>
  </si>
  <si>
    <t>91-417-0366</t>
  </si>
  <si>
    <t>53-151-5726</t>
  </si>
  <si>
    <t>09-712-3630</t>
  </si>
  <si>
    <t>00-366-9496</t>
  </si>
  <si>
    <t>65-527-9488</t>
  </si>
  <si>
    <t>15-679-3935</t>
  </si>
  <si>
    <t>89-388-3239</t>
  </si>
  <si>
    <t>80-334-0215</t>
  </si>
  <si>
    <t>88-586-8797</t>
  </si>
  <si>
    <t>05-193-8096</t>
  </si>
  <si>
    <t>01-050-2246</t>
  </si>
  <si>
    <t>95-356-1566</t>
  </si>
  <si>
    <t>68-977-2498</t>
  </si>
  <si>
    <t>66-268-8345</t>
  </si>
  <si>
    <t>Greek Yogurt</t>
  </si>
  <si>
    <t>68-734-1585</t>
  </si>
  <si>
    <t>09-286-8107</t>
  </si>
  <si>
    <t>55-631-7937</t>
  </si>
  <si>
    <t>32-270-1385</t>
  </si>
  <si>
    <t>28-956-1320</t>
  </si>
  <si>
    <t>17-253-5688</t>
  </si>
  <si>
    <t>54-281-3746</t>
  </si>
  <si>
    <t>Green Beans</t>
  </si>
  <si>
    <t>24-975-4231</t>
  </si>
  <si>
    <t>17-002-4721</t>
  </si>
  <si>
    <t>93-014-4256</t>
  </si>
  <si>
    <t>79-494-2472</t>
  </si>
  <si>
    <t>30-996-2526</t>
  </si>
  <si>
    <t>67-382-4435</t>
  </si>
  <si>
    <t>78-614-4402</t>
  </si>
  <si>
    <t>95-738-4658</t>
  </si>
  <si>
    <t>Green Coffee</t>
  </si>
  <si>
    <t>15-045-8444</t>
  </si>
  <si>
    <t>74-305-1263</t>
  </si>
  <si>
    <t>36-918-2937</t>
  </si>
  <si>
    <t>35-031-1497</t>
  </si>
  <si>
    <t>74-610-2295</t>
  </si>
  <si>
    <t>04-001-1793</t>
  </si>
  <si>
    <t>40-810-9261</t>
  </si>
  <si>
    <t>60-198-7050</t>
  </si>
  <si>
    <t>Green Tea</t>
  </si>
  <si>
    <t>27-881-1177</t>
  </si>
  <si>
    <t>51-000-8113</t>
  </si>
  <si>
    <t>06-706-6490</t>
  </si>
  <si>
    <t>32-987-5559</t>
  </si>
  <si>
    <t>14-550-2152</t>
  </si>
  <si>
    <t>55-680-0982</t>
  </si>
  <si>
    <t>74-845-3299</t>
  </si>
  <si>
    <t>85-237-3505</t>
  </si>
  <si>
    <t>46-436-5351</t>
  </si>
  <si>
    <t>60-550-4771</t>
  </si>
  <si>
    <t>Haddock</t>
  </si>
  <si>
    <t>47-554-5780</t>
  </si>
  <si>
    <t>88-807-8431</t>
  </si>
  <si>
    <t>46-083-7058</t>
  </si>
  <si>
    <t>27-389-3529</t>
  </si>
  <si>
    <t>45-634-0679</t>
  </si>
  <si>
    <t>57-167-0669</t>
  </si>
  <si>
    <t>91-426-3204</t>
  </si>
  <si>
    <t>99-561-4871</t>
  </si>
  <si>
    <t>73-401-5721</t>
  </si>
  <si>
    <t>81-354-4203</t>
  </si>
  <si>
    <t>09-622-7119</t>
  </si>
  <si>
    <t>41-240-8856</t>
  </si>
  <si>
    <t>94-528-8088</t>
  </si>
  <si>
    <t>03-919-9890</t>
  </si>
  <si>
    <t>Halibut</t>
  </si>
  <si>
    <t>83-716-2177</t>
  </si>
  <si>
    <t>55-164-7723</t>
  </si>
  <si>
    <t>19-323-0506</t>
  </si>
  <si>
    <t>00-119-8780</t>
  </si>
  <si>
    <t>37-610-1999</t>
  </si>
  <si>
    <t>83-568-3475</t>
  </si>
  <si>
    <t>27-387-0428</t>
  </si>
  <si>
    <t>65-464-5070</t>
  </si>
  <si>
    <t>Heavy Cream</t>
  </si>
  <si>
    <t>72-341-1154</t>
  </si>
  <si>
    <t>08-495-6853</t>
  </si>
  <si>
    <t>39-315-3936</t>
  </si>
  <si>
    <t>95-130-9020</t>
  </si>
  <si>
    <t>99-961-0767</t>
  </si>
  <si>
    <t>70-149-6756</t>
  </si>
  <si>
    <t>32-261-0008</t>
  </si>
  <si>
    <t>93-218-8108</t>
  </si>
  <si>
    <t>79-136-9840</t>
  </si>
  <si>
    <t>Herbal Tea</t>
  </si>
  <si>
    <t>19-244-9890</t>
  </si>
  <si>
    <t>80-374-5711</t>
  </si>
  <si>
    <t>24-228-6840</t>
  </si>
  <si>
    <t>39-192-3521</t>
  </si>
  <si>
    <t>27-442-3654</t>
  </si>
  <si>
    <t>30-806-3823</t>
  </si>
  <si>
    <t>Jasmine Rice</t>
  </si>
  <si>
    <t>53-008-2419</t>
  </si>
  <si>
    <t>46-622-3434</t>
  </si>
  <si>
    <t>07-846-4804</t>
  </si>
  <si>
    <t>96-961-2193</t>
  </si>
  <si>
    <t>67-270-7464</t>
  </si>
  <si>
    <t>68-732-5919</t>
  </si>
  <si>
    <t>54-708-7327</t>
  </si>
  <si>
    <t>29-135-0791</t>
  </si>
  <si>
    <t>06-690-2335</t>
  </si>
  <si>
    <t>86-257-4613</t>
  </si>
  <si>
    <t>79-350-5841</t>
  </si>
  <si>
    <t>44-128-2185</t>
  </si>
  <si>
    <t>29-741-8132</t>
  </si>
  <si>
    <t>Kale</t>
  </si>
  <si>
    <t>24-571-1080</t>
  </si>
  <si>
    <t>38-655-2312</t>
  </si>
  <si>
    <t>49-526-7806</t>
  </si>
  <si>
    <t>73-942-0508</t>
  </si>
  <si>
    <t>48-461-3742</t>
  </si>
  <si>
    <t>Kiwi</t>
  </si>
  <si>
    <t>82-948-2298</t>
  </si>
  <si>
    <t>49-311-3063</t>
  </si>
  <si>
    <t>66-854-5736</t>
  </si>
  <si>
    <t>52-481-5224</t>
  </si>
  <si>
    <t>85-561-4694</t>
  </si>
  <si>
    <t>70-145-2550</t>
  </si>
  <si>
    <t>Lemon</t>
  </si>
  <si>
    <t>56-054-8664</t>
  </si>
  <si>
    <t>64-478-4745</t>
  </si>
  <si>
    <t>78-362-8578</t>
  </si>
  <si>
    <t>06-731-2162</t>
  </si>
  <si>
    <t>99-543-5039</t>
  </si>
  <si>
    <t>28-608-0039</t>
  </si>
  <si>
    <t>34-086-3222</t>
  </si>
  <si>
    <t>44-476-0390</t>
  </si>
  <si>
    <t>26-690-3784</t>
  </si>
  <si>
    <t>Lettuce</t>
  </si>
  <si>
    <t>19-112-1616</t>
  </si>
  <si>
    <t>77-959-1018</t>
  </si>
  <si>
    <t>08-637-9335</t>
  </si>
  <si>
    <t>49-377-9731</t>
  </si>
  <si>
    <t>Lime</t>
  </si>
  <si>
    <t>93-682-2069</t>
  </si>
  <si>
    <t>51-462-0747</t>
  </si>
  <si>
    <t>29-344-3658</t>
  </si>
  <si>
    <t>15-762-1058</t>
  </si>
  <si>
    <t>43-851-9440</t>
  </si>
  <si>
    <t>13-888-0149</t>
  </si>
  <si>
    <t>84-269-9130</t>
  </si>
  <si>
    <t>Long Grain Rice</t>
  </si>
  <si>
    <t>90-230-9767</t>
  </si>
  <si>
    <t>22-083-3347</t>
  </si>
  <si>
    <t>71-594-6552</t>
  </si>
  <si>
    <t>65-145-9672</t>
  </si>
  <si>
    <t>51-469-4611</t>
  </si>
  <si>
    <t>95-354-8583</t>
  </si>
  <si>
    <t>35-328-8392</t>
  </si>
  <si>
    <t>42-887-6557</t>
  </si>
  <si>
    <t>36-840-2728</t>
  </si>
  <si>
    <t>Mackerel</t>
  </si>
  <si>
    <t>81-268-5905</t>
  </si>
  <si>
    <t>19-377-5021</t>
  </si>
  <si>
    <t>53-050-8242</t>
  </si>
  <si>
    <t>83-966-3280</t>
  </si>
  <si>
    <t>33-670-6797</t>
  </si>
  <si>
    <t>56-810-0550</t>
  </si>
  <si>
    <t>10-002-6494</t>
  </si>
  <si>
    <t>Mango</t>
  </si>
  <si>
    <t>93-198-5984</t>
  </si>
  <si>
    <t>80-658-6456</t>
  </si>
  <si>
    <t>02-559-8196</t>
  </si>
  <si>
    <t>20-031-0532</t>
  </si>
  <si>
    <t>63-918-8253</t>
  </si>
  <si>
    <t>71-999-2404</t>
  </si>
  <si>
    <t>11-316-8405</t>
  </si>
  <si>
    <t>74-548-9313</t>
  </si>
  <si>
    <t>03-276-3931</t>
  </si>
  <si>
    <t>11-325-7396</t>
  </si>
  <si>
    <t>20-405-4865</t>
  </si>
  <si>
    <t>Milk</t>
  </si>
  <si>
    <t>50-329-3145</t>
  </si>
  <si>
    <t>89-602-6755</t>
  </si>
  <si>
    <t>00-963-2193</t>
  </si>
  <si>
    <t>37-606-0510</t>
  </si>
  <si>
    <t>79-400-6216</t>
  </si>
  <si>
    <t>Mozzarella Cheese</t>
  </si>
  <si>
    <t>43-193-9915</t>
  </si>
  <si>
    <t>87-762-1317</t>
  </si>
  <si>
    <t>83-400-9746</t>
  </si>
  <si>
    <t>98-064-4465</t>
  </si>
  <si>
    <t>12-828-1063</t>
  </si>
  <si>
    <t>33-807-7247</t>
  </si>
  <si>
    <t>28-433-8533</t>
  </si>
  <si>
    <t>Multigrain Bread</t>
  </si>
  <si>
    <t>30-832-5429</t>
  </si>
  <si>
    <t>10-768-2443</t>
  </si>
  <si>
    <t>24-478-8277</t>
  </si>
  <si>
    <t>51-273-4240</t>
  </si>
  <si>
    <t>60-343-7973</t>
  </si>
  <si>
    <t>63-270-7076</t>
  </si>
  <si>
    <t>40-205-8252</t>
  </si>
  <si>
    <t>72-989-2512</t>
  </si>
  <si>
    <t>Mushrooms</t>
  </si>
  <si>
    <t>60-285-3783</t>
  </si>
  <si>
    <t>22-849-2551</t>
  </si>
  <si>
    <t>67-027-7269</t>
  </si>
  <si>
    <t>38-617-7226</t>
  </si>
  <si>
    <t>37-709-3532</t>
  </si>
  <si>
    <t>79-920-2395</t>
  </si>
  <si>
    <t>79-741-0770</t>
  </si>
  <si>
    <t>85-806-0613</t>
  </si>
  <si>
    <t>Oatmeal Biscuit</t>
  </si>
  <si>
    <t>38-049-9319</t>
  </si>
  <si>
    <t>58-182-6781</t>
  </si>
  <si>
    <t>69-834-2874</t>
  </si>
  <si>
    <t>63-890-1246</t>
  </si>
  <si>
    <t>31-211-5803</t>
  </si>
  <si>
    <t>82-811-7988</t>
  </si>
  <si>
    <t>Olive Oil</t>
  </si>
  <si>
    <t>65-718-0492</t>
  </si>
  <si>
    <t>09-536-2626</t>
  </si>
  <si>
    <t>33-335-9140</t>
  </si>
  <si>
    <t>73-118-1117</t>
  </si>
  <si>
    <t>04-240-2226</t>
  </si>
  <si>
    <t>08-940-8578</t>
  </si>
  <si>
    <t>Onion</t>
  </si>
  <si>
    <t>07-679-1199</t>
  </si>
  <si>
    <t>91-848-0606</t>
  </si>
  <si>
    <t>05-425-0746</t>
  </si>
  <si>
    <t>46-911-1159</t>
  </si>
  <si>
    <t>47-548-6500</t>
  </si>
  <si>
    <t>73-751-4393</t>
  </si>
  <si>
    <t>88-746-9468</t>
  </si>
  <si>
    <t>76-027-4850</t>
  </si>
  <si>
    <t>02-974-8526</t>
  </si>
  <si>
    <t>90-303-1821</t>
  </si>
  <si>
    <t>53-667-4109</t>
  </si>
  <si>
    <t>36-899-5324</t>
  </si>
  <si>
    <t>Orange</t>
  </si>
  <si>
    <t>63-874-9747</t>
  </si>
  <si>
    <t>91-127-7489</t>
  </si>
  <si>
    <t>25-911-7736</t>
  </si>
  <si>
    <t>27-635-8394</t>
  </si>
  <si>
    <t>53-446-8243</t>
  </si>
  <si>
    <t>76-540-6407</t>
  </si>
  <si>
    <t>17-265-1899</t>
  </si>
  <si>
    <t>91-105-7317</t>
  </si>
  <si>
    <t>43-670-8544</t>
  </si>
  <si>
    <t>51-572-5497</t>
  </si>
  <si>
    <t>66-327-2821</t>
  </si>
  <si>
    <t>Palm Oil</t>
  </si>
  <si>
    <t>45-317-9731</t>
  </si>
  <si>
    <t>64-493-5270</t>
  </si>
  <si>
    <t>07-219-8017</t>
  </si>
  <si>
    <t>76-459-2392</t>
  </si>
  <si>
    <t>97-283-4840</t>
  </si>
  <si>
    <t>82-243-3180</t>
  </si>
  <si>
    <t>62-795-7801</t>
  </si>
  <si>
    <t>60-747-8704</t>
  </si>
  <si>
    <t>Papaya</t>
  </si>
  <si>
    <t>25-353-2067</t>
  </si>
  <si>
    <t>31-608-1445</t>
  </si>
  <si>
    <t>45-172-7012</t>
  </si>
  <si>
    <t>28-044-4102</t>
  </si>
  <si>
    <t>29-875-6900</t>
  </si>
  <si>
    <t>87-199-2743</t>
  </si>
  <si>
    <t>56-213-0577</t>
  </si>
  <si>
    <t>28-146-2641</t>
  </si>
  <si>
    <t>Parmesan Cheese</t>
  </si>
  <si>
    <t>11-815-7923</t>
  </si>
  <si>
    <t>31-387-5020</t>
  </si>
  <si>
    <t>98-499-2220</t>
  </si>
  <si>
    <t>26-000-1012</t>
  </si>
  <si>
    <t>68-418-6724</t>
  </si>
  <si>
    <t>47-581-0363</t>
  </si>
  <si>
    <t>35-257-9312</t>
  </si>
  <si>
    <t>67-984-5368</t>
  </si>
  <si>
    <t>13-673-7016</t>
  </si>
  <si>
    <t>Peach</t>
  </si>
  <si>
    <t>65-867-4029</t>
  </si>
  <si>
    <t>48-789-9187</t>
  </si>
  <si>
    <t>44-546-5713</t>
  </si>
  <si>
    <t>11-745-3025</t>
  </si>
  <si>
    <t>08-703-1382</t>
  </si>
  <si>
    <t>74-430-8245</t>
  </si>
  <si>
    <t>19-047-4239</t>
  </si>
  <si>
    <t>04-293-6969</t>
  </si>
  <si>
    <t>11-891-8213</t>
  </si>
  <si>
    <t>Peanut Oil</t>
  </si>
  <si>
    <t>76-584-4790</t>
  </si>
  <si>
    <t>67-546-1568</t>
  </si>
  <si>
    <t>06-611-5454</t>
  </si>
  <si>
    <t>10-617-7581</t>
  </si>
  <si>
    <t>87-903-3486</t>
  </si>
  <si>
    <t>64-854-8664</t>
  </si>
  <si>
    <t>84-198-7276</t>
  </si>
  <si>
    <t>74-294-3760</t>
  </si>
  <si>
    <t>94-071-2261</t>
  </si>
  <si>
    <t>Pear</t>
  </si>
  <si>
    <t>19-214-5762</t>
  </si>
  <si>
    <t>44-552-3909</t>
  </si>
  <si>
    <t>75-152-8731</t>
  </si>
  <si>
    <t>74-587-2065</t>
  </si>
  <si>
    <t>37-248-6266</t>
  </si>
  <si>
    <t>20-283-0111</t>
  </si>
  <si>
    <t>65-644-1394</t>
  </si>
  <si>
    <t>16-499-5059</t>
  </si>
  <si>
    <t>08-196-2703</t>
  </si>
  <si>
    <t>Peas</t>
  </si>
  <si>
    <t>38-296-6634</t>
  </si>
  <si>
    <t>50-942-2409</t>
  </si>
  <si>
    <t>11-032-9778</t>
  </si>
  <si>
    <t>38-924-3007</t>
  </si>
  <si>
    <t>30-964-2694</t>
  </si>
  <si>
    <t>88-304-2855</t>
  </si>
  <si>
    <t>Pineapple</t>
  </si>
  <si>
    <t>33-507-9886</t>
  </si>
  <si>
    <t>43-703-9939</t>
  </si>
  <si>
    <t>93-966-7754</t>
  </si>
  <si>
    <t>27-269-5260</t>
  </si>
  <si>
    <t>93-015-0811</t>
  </si>
  <si>
    <t>70-612-2531</t>
  </si>
  <si>
    <t>97-772-2336</t>
  </si>
  <si>
    <t>38-732-7667</t>
  </si>
  <si>
    <t>40-751-8635</t>
  </si>
  <si>
    <t>57-437-1828</t>
  </si>
  <si>
    <t>Plum</t>
  </si>
  <si>
    <t>48-242-8445</t>
  </si>
  <si>
    <t>11-073-0189</t>
  </si>
  <si>
    <t>63-936-0145</t>
  </si>
  <si>
    <t>45-194-4094</t>
  </si>
  <si>
    <t>43-910-2342</t>
  </si>
  <si>
    <t>17-395-1121</t>
  </si>
  <si>
    <t>15-907-3681</t>
  </si>
  <si>
    <t>02-575-1980</t>
  </si>
  <si>
    <t>07-074-1196</t>
  </si>
  <si>
    <t>76-401-7083</t>
  </si>
  <si>
    <t>Pomegranate</t>
  </si>
  <si>
    <t>73-874-7534</t>
  </si>
  <si>
    <t>28-840-6096</t>
  </si>
  <si>
    <t>42-175-1648</t>
  </si>
  <si>
    <t>08-573-9997</t>
  </si>
  <si>
    <t>90-492-0564</t>
  </si>
  <si>
    <t>52-123-8039</t>
  </si>
  <si>
    <t>46-496-2930</t>
  </si>
  <si>
    <t>98-556-5323</t>
  </si>
  <si>
    <t>75-672-4378</t>
  </si>
  <si>
    <t>47-221-2470</t>
  </si>
  <si>
    <t>63-822-5278</t>
  </si>
  <si>
    <t>28-986-8001</t>
  </si>
  <si>
    <t>71-015-9181</t>
  </si>
  <si>
    <t>06-797-4963</t>
  </si>
  <si>
    <t>27-495-1912</t>
  </si>
  <si>
    <t>Potato</t>
  </si>
  <si>
    <t>38-390-2115</t>
  </si>
  <si>
    <t>11-338-4598</t>
  </si>
  <si>
    <t>12-239-9399</t>
  </si>
  <si>
    <t>02-275-6061</t>
  </si>
  <si>
    <t>47-749-3277</t>
  </si>
  <si>
    <t>Powdered Sugar</t>
  </si>
  <si>
    <t>23-070-2433</t>
  </si>
  <si>
    <t>28-197-9246</t>
  </si>
  <si>
    <t>53-146-9979</t>
  </si>
  <si>
    <t>20-387-7746</t>
  </si>
  <si>
    <t>83-556-0996</t>
  </si>
  <si>
    <t>87-423-8486</t>
  </si>
  <si>
    <t>09-335-7793</t>
  </si>
  <si>
    <t>90-865-9150</t>
  </si>
  <si>
    <t>01-703-8441</t>
  </si>
  <si>
    <t>Raw Sugar</t>
  </si>
  <si>
    <t>40-795-0753</t>
  </si>
  <si>
    <t>02-170-5225</t>
  </si>
  <si>
    <t>92-551-8504</t>
  </si>
  <si>
    <t>44-782-1395</t>
  </si>
  <si>
    <t>39-810-2042</t>
  </si>
  <si>
    <t>Rice Flour</t>
  </si>
  <si>
    <t>02-655-3240</t>
  </si>
  <si>
    <t>62-816-8794</t>
  </si>
  <si>
    <t>22-895-6595</t>
  </si>
  <si>
    <t>53-710-7630</t>
  </si>
  <si>
    <t>11-733-1756</t>
  </si>
  <si>
    <t>99-033-5661</t>
  </si>
  <si>
    <t>36-127-4273</t>
  </si>
  <si>
    <t>Ricotta Cheese</t>
  </si>
  <si>
    <t>76-090-4411</t>
  </si>
  <si>
    <t>12-714-5135</t>
  </si>
  <si>
    <t>35-836-6718</t>
  </si>
  <si>
    <t>55-697-5242</t>
  </si>
  <si>
    <t>34-861-4446</t>
  </si>
  <si>
    <t>31-157-1822</t>
  </si>
  <si>
    <t>61-796-6540</t>
  </si>
  <si>
    <t>49-579-4325</t>
  </si>
  <si>
    <t>41-735-9837</t>
  </si>
  <si>
    <t>Robusta Coffee</t>
  </si>
  <si>
    <t>63-956-0739</t>
  </si>
  <si>
    <t>87-097-5691</t>
  </si>
  <si>
    <t>92-455-2959</t>
  </si>
  <si>
    <t>61-801-8665</t>
  </si>
  <si>
    <t>26-799-3714</t>
  </si>
  <si>
    <t>37-064-7275</t>
  </si>
  <si>
    <t>28-185-7303</t>
  </si>
  <si>
    <t>24-310-9184</t>
  </si>
  <si>
    <t>Rye Bread</t>
  </si>
  <si>
    <t>15-796-3130</t>
  </si>
  <si>
    <t>75-094-1179</t>
  </si>
  <si>
    <t>04-038-1547</t>
  </si>
  <si>
    <t>94-525-6925</t>
  </si>
  <si>
    <t>41-475-5305</t>
  </si>
  <si>
    <t>26-629-5920</t>
  </si>
  <si>
    <t>97-710-2449</t>
  </si>
  <si>
    <t>61-293-6327</t>
  </si>
  <si>
    <t>Salmon</t>
  </si>
  <si>
    <t>36-330-5036</t>
  </si>
  <si>
    <t>32-676-1026</t>
  </si>
  <si>
    <t>50-930-4751</t>
  </si>
  <si>
    <t>85-781-5386</t>
  </si>
  <si>
    <t>71-631-5875</t>
  </si>
  <si>
    <t>45-852-2446</t>
  </si>
  <si>
    <t>56-831-6199</t>
  </si>
  <si>
    <t>67-625-9704</t>
  </si>
  <si>
    <t>Sardines</t>
  </si>
  <si>
    <t>13-844-2178</t>
  </si>
  <si>
    <t>81-605-6246</t>
  </si>
  <si>
    <t>41-729-5410</t>
  </si>
  <si>
    <t>06-336-5482</t>
  </si>
  <si>
    <t>22-266-9291</t>
  </si>
  <si>
    <t>51-934-9117</t>
  </si>
  <si>
    <t>95-090-2788</t>
  </si>
  <si>
    <t>Sesame Oil</t>
  </si>
  <si>
    <t>27-216-9671</t>
  </si>
  <si>
    <t>93-815-0565</t>
  </si>
  <si>
    <t>89-713-6071</t>
  </si>
  <si>
    <t>72-810-9753</t>
  </si>
  <si>
    <t>60-311-5701</t>
  </si>
  <si>
    <t>83-573-4586</t>
  </si>
  <si>
    <t>76-325-9093</t>
  </si>
  <si>
    <t>06-849-4869</t>
  </si>
  <si>
    <t>77-827-0820</t>
  </si>
  <si>
    <t>72-970-0239</t>
  </si>
  <si>
    <t>06-858-5680</t>
  </si>
  <si>
    <t>46-520-1819</t>
  </si>
  <si>
    <t>Short Grain Rice</t>
  </si>
  <si>
    <t>29-377-7040</t>
  </si>
  <si>
    <t>43-893-5408</t>
  </si>
  <si>
    <t>01-839-6534</t>
  </si>
  <si>
    <t>02-484-0206</t>
  </si>
  <si>
    <t>92-791-0606</t>
  </si>
  <si>
    <t>19-967-0632</t>
  </si>
  <si>
    <t>51-459-5630</t>
  </si>
  <si>
    <t>Sour Cream</t>
  </si>
  <si>
    <t>40-793-7235</t>
  </si>
  <si>
    <t>02-034-6209</t>
  </si>
  <si>
    <t>49-570-8214</t>
  </si>
  <si>
    <t>34-538-1180</t>
  </si>
  <si>
    <t>08-213-2058</t>
  </si>
  <si>
    <t>71-074-6292</t>
  </si>
  <si>
    <t>Sourdough Bread</t>
  </si>
  <si>
    <t>53-805-9523</t>
  </si>
  <si>
    <t>56-635-6764</t>
  </si>
  <si>
    <t>69-468-5468</t>
  </si>
  <si>
    <t>62-100-2245</t>
  </si>
  <si>
    <t>73-561-2867</t>
  </si>
  <si>
    <t>10-555-5971</t>
  </si>
  <si>
    <t>70-854-6891</t>
  </si>
  <si>
    <t>94-697-2396</t>
  </si>
  <si>
    <t>53-080-8252</t>
  </si>
  <si>
    <t>75-029-9003</t>
  </si>
  <si>
    <t>82-977-7752</t>
  </si>
  <si>
    <t>Spinach</t>
  </si>
  <si>
    <t>25-349-7974</t>
  </si>
  <si>
    <t>74-818-3306</t>
  </si>
  <si>
    <t>77-312-6317</t>
  </si>
  <si>
    <t>27-474-0056</t>
  </si>
  <si>
    <t>29-092-3453</t>
  </si>
  <si>
    <t>15-144-9413</t>
  </si>
  <si>
    <t>Strawberries</t>
  </si>
  <si>
    <t>22-621-2774</t>
  </si>
  <si>
    <t>03-043-9933</t>
  </si>
  <si>
    <t>87-675-1506</t>
  </si>
  <si>
    <t>80-039-1261</t>
  </si>
  <si>
    <t>01-903-5373</t>
  </si>
  <si>
    <t>36-296-9609</t>
  </si>
  <si>
    <t>Sunflower Oil</t>
  </si>
  <si>
    <t>03-940-0630</t>
  </si>
  <si>
    <t>72-780-6006</t>
  </si>
  <si>
    <t>01-439-6231</t>
  </si>
  <si>
    <t>64-418-8356</t>
  </si>
  <si>
    <t>44-480-9446</t>
  </si>
  <si>
    <t>62-777-6010</t>
  </si>
  <si>
    <t>Sushi Rice</t>
  </si>
  <si>
    <t>93-571-7294</t>
  </si>
  <si>
    <t>09-101-1740</t>
  </si>
  <si>
    <t>87-013-6488</t>
  </si>
  <si>
    <t>54-109-8062</t>
  </si>
  <si>
    <t>74-711-7160</t>
  </si>
  <si>
    <t>78-956-4737</t>
  </si>
  <si>
    <t>42-495-7698</t>
  </si>
  <si>
    <t>29-205-1132</t>
  </si>
  <si>
    <t>14-305-9690</t>
  </si>
  <si>
    <t>13-962-6263</t>
  </si>
  <si>
    <t>Sweet Potato</t>
  </si>
  <si>
    <t>17-504-3699</t>
  </si>
  <si>
    <t>17-236-0566</t>
  </si>
  <si>
    <t>68-973-8812</t>
  </si>
  <si>
    <t>13-980-8804</t>
  </si>
  <si>
    <t>94-658-4945</t>
  </si>
  <si>
    <t>82-041-7211</t>
  </si>
  <si>
    <t>Swiss Cheese</t>
  </si>
  <si>
    <t>97-040-3822</t>
  </si>
  <si>
    <t>70-871-4536</t>
  </si>
  <si>
    <t>98-858-6323</t>
  </si>
  <si>
    <t>80-375-9075</t>
  </si>
  <si>
    <t>57-861-4379</t>
  </si>
  <si>
    <t>35-621-2546</t>
  </si>
  <si>
    <t>07-858-5487</t>
  </si>
  <si>
    <t>45-402-0421</t>
  </si>
  <si>
    <t>27-262-2437</t>
  </si>
  <si>
    <t>46-255-3073</t>
  </si>
  <si>
    <t>Tilapia</t>
  </si>
  <si>
    <t>91-257-3672</t>
  </si>
  <si>
    <t>26-456-1992</t>
  </si>
  <si>
    <t>35-835-5591</t>
  </si>
  <si>
    <t>60-343-3288</t>
  </si>
  <si>
    <t>26-535-4727</t>
  </si>
  <si>
    <t>94-355-3070</t>
  </si>
  <si>
    <t>08-725-8156</t>
  </si>
  <si>
    <t>52-797-6961</t>
  </si>
  <si>
    <t>54-830-6971</t>
  </si>
  <si>
    <t>99-048-8310</t>
  </si>
  <si>
    <t>Tomato</t>
  </si>
  <si>
    <t>04-453-5485</t>
  </si>
  <si>
    <t>92-362-3567</t>
  </si>
  <si>
    <t>49-199-6836</t>
  </si>
  <si>
    <t>57-903-6434</t>
  </si>
  <si>
    <t>26-010-9519</t>
  </si>
  <si>
    <t>Trout</t>
  </si>
  <si>
    <t>40-462-2952</t>
  </si>
  <si>
    <t>01-144-5960</t>
  </si>
  <si>
    <t>12-342-4482</t>
  </si>
  <si>
    <t>60-644-6596</t>
  </si>
  <si>
    <t>66-627-9752</t>
  </si>
  <si>
    <t>28-824-9017</t>
  </si>
  <si>
    <t>03-061-1344</t>
  </si>
  <si>
    <t>87-791-5803</t>
  </si>
  <si>
    <t>Tuna</t>
  </si>
  <si>
    <t>44-112-3331</t>
  </si>
  <si>
    <t>44-538-3366</t>
  </si>
  <si>
    <t>94-020-6982</t>
  </si>
  <si>
    <t>74-666-5671</t>
  </si>
  <si>
    <t>39-479-5147</t>
  </si>
  <si>
    <t>73-010-8323</t>
  </si>
  <si>
    <t>31-255-9616</t>
  </si>
  <si>
    <t>31-403-6234</t>
  </si>
  <si>
    <t>80-072-8774</t>
  </si>
  <si>
    <t>24-986-5091</t>
  </si>
  <si>
    <t>Vanilla Biscuit</t>
  </si>
  <si>
    <t>74-562-7431</t>
  </si>
  <si>
    <t>82-342-7339</t>
  </si>
  <si>
    <t>79-569-8856</t>
  </si>
  <si>
    <t>Vegetable Oil</t>
  </si>
  <si>
    <t>48-289-0604</t>
  </si>
  <si>
    <t>56-668-5370</t>
  </si>
  <si>
    <t>23-395-3157</t>
  </si>
  <si>
    <t>43-153-8268</t>
  </si>
  <si>
    <t>92-837-8839</t>
  </si>
  <si>
    <t>26-031-8070</t>
  </si>
  <si>
    <t>34-075-0371</t>
  </si>
  <si>
    <t>Watermelon</t>
  </si>
  <si>
    <t>28-505-8317</t>
  </si>
  <si>
    <t>44-637-5512</t>
  </si>
  <si>
    <t>11-766-8738</t>
  </si>
  <si>
    <t>19-854-3663</t>
  </si>
  <si>
    <t>22-329-7791</t>
  </si>
  <si>
    <t>21-993-5632</t>
  </si>
  <si>
    <t>10-137-9759</t>
  </si>
  <si>
    <t>87-997-0228</t>
  </si>
  <si>
    <t>73-567-6194</t>
  </si>
  <si>
    <t>Whipped Cream</t>
  </si>
  <si>
    <t>46-632-8420</t>
  </si>
  <si>
    <t>55-522-8242</t>
  </si>
  <si>
    <t>26-134-9069</t>
  </si>
  <si>
    <t>03-149-9760</t>
  </si>
  <si>
    <t>41-526-4036</t>
  </si>
  <si>
    <t>74-943-9034</t>
  </si>
  <si>
    <t>White Bread</t>
  </si>
  <si>
    <t>83-108-1174</t>
  </si>
  <si>
    <t>02-920-4829</t>
  </si>
  <si>
    <t>85-510-2915</t>
  </si>
  <si>
    <t>56-657-4387</t>
  </si>
  <si>
    <t>21-650-9319</t>
  </si>
  <si>
    <t>96-503-7712</t>
  </si>
  <si>
    <t>61-317-9944</t>
  </si>
  <si>
    <t>31-627-6025</t>
  </si>
  <si>
    <t>21-809-7115</t>
  </si>
  <si>
    <t>White Rice</t>
  </si>
  <si>
    <t>34-547-0827</t>
  </si>
  <si>
    <t>29-896-7926</t>
  </si>
  <si>
    <t>86-273-9377</t>
  </si>
  <si>
    <t>38-417-4656</t>
  </si>
  <si>
    <t>White Sugar</t>
  </si>
  <si>
    <t>40-003-7322</t>
  </si>
  <si>
    <t>08-396-2704</t>
  </si>
  <si>
    <t>42-220-9305</t>
  </si>
  <si>
    <t>99-894-4351</t>
  </si>
  <si>
    <t>09-618-2842</t>
  </si>
  <si>
    <t>77-937-1108</t>
  </si>
  <si>
    <t>22-141-9798</t>
  </si>
  <si>
    <t>76-854-0095</t>
  </si>
  <si>
    <t>22-319-1377</t>
  </si>
  <si>
    <t>40-683-0283</t>
  </si>
  <si>
    <t>86-482-6451</t>
  </si>
  <si>
    <t>White Tea</t>
  </si>
  <si>
    <t>20-225-3930</t>
  </si>
  <si>
    <t>14-681-7035</t>
  </si>
  <si>
    <t>78-689-8958</t>
  </si>
  <si>
    <t>57-394-4703</t>
  </si>
  <si>
    <t>96-334-2593</t>
  </si>
  <si>
    <t>65-282-0419</t>
  </si>
  <si>
    <t>24-009-1208</t>
  </si>
  <si>
    <t>93-166-3169</t>
  </si>
  <si>
    <t>13-409-9040</t>
  </si>
  <si>
    <t>88-183-5781</t>
  </si>
  <si>
    <t>Whole Wheat Bread</t>
  </si>
  <si>
    <t>17-274-6898</t>
  </si>
  <si>
    <t>19-610-2236</t>
  </si>
  <si>
    <t>65-235-7676</t>
  </si>
  <si>
    <t>86-978-6666</t>
  </si>
  <si>
    <t>Whole Wheat Flour</t>
  </si>
  <si>
    <t>31-746-4951</t>
  </si>
  <si>
    <t>87-104-0187</t>
  </si>
  <si>
    <t>57-101-0060</t>
  </si>
  <si>
    <t>44-634-8292</t>
  </si>
  <si>
    <t>45-992-5653</t>
  </si>
  <si>
    <t>89-922-4773</t>
  </si>
  <si>
    <t>42-674-3917</t>
  </si>
  <si>
    <t>04-758-0410</t>
  </si>
  <si>
    <t>Wild Rice</t>
  </si>
  <si>
    <t>06-655-5498</t>
  </si>
  <si>
    <t>06-340-6856</t>
  </si>
  <si>
    <t>50-329-3360</t>
  </si>
  <si>
    <t>82-231-4245</t>
  </si>
  <si>
    <t>80-441-7249</t>
  </si>
  <si>
    <t>89-181-4523</t>
  </si>
  <si>
    <t>56-303-5256</t>
  </si>
  <si>
    <t>23-265-8144</t>
  </si>
  <si>
    <t>Yogurt</t>
  </si>
  <si>
    <t>56-894-3733</t>
  </si>
  <si>
    <t>22-760-4605</t>
  </si>
  <si>
    <t>34-131-8805</t>
  </si>
  <si>
    <t>03-441-4252</t>
  </si>
  <si>
    <t>40-997-2786</t>
  </si>
  <si>
    <t>69-674-5387</t>
  </si>
  <si>
    <t>98-546-7398</t>
  </si>
  <si>
    <t>66-806-6051</t>
  </si>
  <si>
    <t>92-652-3737</t>
  </si>
  <si>
    <t>Zucchini</t>
  </si>
  <si>
    <t>29-823-6004</t>
  </si>
  <si>
    <t>63-897-8088</t>
  </si>
  <si>
    <t>40-021-2400</t>
  </si>
  <si>
    <t>69-287-9113</t>
  </si>
  <si>
    <t>26-161-6692</t>
  </si>
  <si>
    <t>70-534-7796</t>
  </si>
  <si>
    <t>15-846-7959</t>
  </si>
  <si>
    <t>80-988-4653</t>
  </si>
  <si>
    <t>68-761-6907</t>
  </si>
  <si>
    <t>Profit</t>
  </si>
  <si>
    <t>Cost_Price</t>
  </si>
  <si>
    <t>Selling_Price</t>
  </si>
  <si>
    <t>Total_Sales</t>
  </si>
  <si>
    <t>Quantity(Gms)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</si>
</sst>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₹&quot;\ * #,##0_ ;_ &quot;₹&quot;\ * \-#,##0_ ;_ &quot;₹&quot;\ * &quot;-&quot;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42" fontId="0" fillId="0" borderId="0" xfId="0" applyNumberForma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0" fontId="19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42" fontId="0" fillId="0" borderId="0" xfId="0" applyNumberFormat="1" applyAlignment="1">
      <alignment horizontal="left"/>
    </xf>
    <xf numFmtId="42" fontId="0" fillId="0" borderId="0" xfId="0" applyNumberFormat="1" applyAlignment="1">
      <alignment horizontal="center"/>
    </xf>
    <xf numFmtId="42" fontId="19" fillId="0" borderId="0" xfId="0" applyNumberFormat="1" applyFont="1" applyAlignment="1">
      <alignment horizontal="right"/>
    </xf>
    <xf numFmtId="42" fontId="0" fillId="0" borderId="0" xfId="0" applyNumberFormat="1" applyAlignment="1">
      <alignment horizontal="right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6C0896-B4BB-4DB4-A7D0-B2303F88721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N2OIWfm9nM2rFc4Y1__k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9582-64E4-444B-B41F-A046393C4FE1}">
  <sheetPr filterMode="1"/>
  <dimension ref="A1:Q991"/>
  <sheetViews>
    <sheetView tabSelected="1" workbookViewId="0">
      <selection activeCell="N13" sqref="N13"/>
    </sheetView>
  </sheetViews>
  <sheetFormatPr defaultRowHeight="14.25" x14ac:dyDescent="0.45"/>
  <cols>
    <col min="1" max="1" width="11.796875" style="6" bestFit="1" customWidth="1"/>
    <col min="2" max="2" width="16.73046875" style="9" bestFit="1" customWidth="1"/>
    <col min="3" max="3" width="16.06640625" style="7" bestFit="1" customWidth="1"/>
    <col min="4" max="4" width="14.796875" style="6" bestFit="1" customWidth="1"/>
    <col min="5" max="5" width="12.1328125" bestFit="1" customWidth="1"/>
    <col min="6" max="6" width="15.59765625" bestFit="1" customWidth="1"/>
    <col min="7" max="7" width="18.06640625" style="6" bestFit="1" customWidth="1"/>
    <col min="8" max="8" width="15.1328125" bestFit="1" customWidth="1"/>
    <col min="9" max="9" width="18.46484375" bestFit="1" customWidth="1"/>
    <col min="10" max="10" width="11.9296875" style="13" bestFit="1" customWidth="1"/>
    <col min="11" max="11" width="14.3984375" style="12" bestFit="1" customWidth="1"/>
    <col min="12" max="12" width="7.46484375" style="4" bestFit="1" customWidth="1"/>
    <col min="13" max="13" width="20.73046875" style="3" bestFit="1" customWidth="1"/>
    <col min="14" max="14" width="14.19921875" bestFit="1" customWidth="1"/>
    <col min="15" max="15" width="11.59765625" bestFit="1" customWidth="1"/>
    <col min="16" max="16" width="15.53125" style="11" bestFit="1" customWidth="1"/>
    <col min="17" max="17" width="10.9296875" bestFit="1" customWidth="1"/>
  </cols>
  <sheetData>
    <row r="1" spans="1:17" ht="15.4" x14ac:dyDescent="0.45">
      <c r="A1" s="5" t="s">
        <v>0</v>
      </c>
      <c r="B1" s="8" t="s">
        <v>1</v>
      </c>
      <c r="C1" s="5" t="s">
        <v>2</v>
      </c>
      <c r="D1" s="16" t="s">
        <v>1136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4" t="s">
        <v>1133</v>
      </c>
      <c r="K1" s="14" t="s">
        <v>1134</v>
      </c>
      <c r="L1" s="14" t="s">
        <v>1132</v>
      </c>
      <c r="M1" s="10" t="s">
        <v>8</v>
      </c>
      <c r="N1" s="16" t="s">
        <v>9</v>
      </c>
      <c r="O1" s="16" t="s">
        <v>11</v>
      </c>
      <c r="P1" s="10" t="s">
        <v>10</v>
      </c>
      <c r="Q1" s="17" t="s">
        <v>1135</v>
      </c>
    </row>
    <row r="2" spans="1:17" x14ac:dyDescent="0.45">
      <c r="A2" s="6" t="s">
        <v>217</v>
      </c>
      <c r="B2" s="9" t="s">
        <v>218</v>
      </c>
      <c r="C2" s="6" t="s">
        <v>219</v>
      </c>
      <c r="D2" s="18">
        <f ca="1">RANDBETWEEN(500,1000)</f>
        <v>778</v>
      </c>
      <c r="E2" s="19">
        <v>45488</v>
      </c>
      <c r="F2" s="18">
        <v>38</v>
      </c>
      <c r="G2" s="20">
        <v>0.77</v>
      </c>
      <c r="H2" s="18">
        <f ca="1">RANDBETWEEN(50,80)</f>
        <v>72</v>
      </c>
      <c r="I2" s="18">
        <f ca="1">RANDBETWEEN(70,200)</f>
        <v>72</v>
      </c>
      <c r="J2" s="15">
        <f ca="1">K2-L2</f>
        <v>137</v>
      </c>
      <c r="K2" s="15">
        <v>172</v>
      </c>
      <c r="L2" s="15">
        <f ca="1">RANDBETWEEN(30,87)</f>
        <v>35</v>
      </c>
      <c r="M2" s="11">
        <f ca="1">(L2/J2)</f>
        <v>0.25547445255474455</v>
      </c>
      <c r="N2" s="18">
        <v>67</v>
      </c>
      <c r="O2" s="18" t="str">
        <f ca="1">IF(F2&lt;H2,"Understocked","Optimal")</f>
        <v>Understocked</v>
      </c>
      <c r="P2" s="11" t="str">
        <f ca="1">RANDBETWEEN(30,76)&amp;"%"</f>
        <v>50%</v>
      </c>
      <c r="Q2" s="18">
        <f>PRODUCT(K2,N2)</f>
        <v>11524</v>
      </c>
    </row>
    <row r="3" spans="1:17" x14ac:dyDescent="0.45">
      <c r="A3" s="6" t="s">
        <v>220</v>
      </c>
      <c r="B3" s="9" t="s">
        <v>218</v>
      </c>
      <c r="C3" s="6" t="s">
        <v>219</v>
      </c>
      <c r="D3" s="18">
        <f ca="1">RANDBETWEEN(500,1000)</f>
        <v>530</v>
      </c>
      <c r="E3" s="19">
        <v>45414</v>
      </c>
      <c r="F3" s="18">
        <v>74</v>
      </c>
      <c r="G3" s="20">
        <v>0.74</v>
      </c>
      <c r="H3" s="18">
        <f t="shared" ref="H3:H66" ca="1" si="0">RANDBETWEEN(50,80)</f>
        <v>61</v>
      </c>
      <c r="I3" s="18">
        <f t="shared" ref="I3:I66" ca="1" si="1">RANDBETWEEN(70,200)</f>
        <v>73</v>
      </c>
      <c r="J3" s="15">
        <f ca="1">K3-L3</f>
        <v>175</v>
      </c>
      <c r="K3" s="15">
        <v>215</v>
      </c>
      <c r="L3" s="15">
        <f ca="1">RANDBETWEEN(30,87)</f>
        <v>40</v>
      </c>
      <c r="M3" s="11">
        <f ca="1">(L3/J3)</f>
        <v>0.22857142857142856</v>
      </c>
      <c r="N3" s="18">
        <v>51</v>
      </c>
      <c r="O3" s="18" t="str">
        <f t="shared" ref="O3:O66" ca="1" si="2">IF(F3&lt;H3,"Understocked","Optimal")</f>
        <v>Optimal</v>
      </c>
      <c r="P3" s="11" t="str">
        <f ca="1">RANDBETWEEN(30,76)&amp;"%"</f>
        <v>32%</v>
      </c>
      <c r="Q3" s="18">
        <f>PRODUCT(K3,N3)</f>
        <v>10965</v>
      </c>
    </row>
    <row r="4" spans="1:17" x14ac:dyDescent="0.45">
      <c r="A4" s="6" t="s">
        <v>221</v>
      </c>
      <c r="B4" s="9" t="s">
        <v>218</v>
      </c>
      <c r="C4" s="6" t="s">
        <v>219</v>
      </c>
      <c r="D4" s="18">
        <f ca="1">RANDBETWEEN(500,1000)</f>
        <v>528</v>
      </c>
      <c r="E4" s="19">
        <v>45705</v>
      </c>
      <c r="F4" s="18">
        <v>12</v>
      </c>
      <c r="G4" s="20">
        <v>0.35</v>
      </c>
      <c r="H4" s="18">
        <f t="shared" ca="1" si="0"/>
        <v>68</v>
      </c>
      <c r="I4" s="18">
        <f t="shared" ca="1" si="1"/>
        <v>156</v>
      </c>
      <c r="J4" s="15">
        <f ca="1">K4-L4</f>
        <v>376</v>
      </c>
      <c r="K4" s="15">
        <v>430</v>
      </c>
      <c r="L4" s="15">
        <f ca="1">RANDBETWEEN(30,87)</f>
        <v>54</v>
      </c>
      <c r="M4" s="11">
        <f ca="1">(L4/J4)</f>
        <v>0.14361702127659576</v>
      </c>
      <c r="N4" s="18">
        <v>72</v>
      </c>
      <c r="O4" s="18" t="str">
        <f t="shared" ca="1" si="2"/>
        <v>Understocked</v>
      </c>
      <c r="P4" s="11" t="str">
        <f ca="1">RANDBETWEEN(30,76)&amp;"%"</f>
        <v>69%</v>
      </c>
      <c r="Q4" s="18">
        <f>PRODUCT(K4,N4)</f>
        <v>30960</v>
      </c>
    </row>
    <row r="5" spans="1:17" x14ac:dyDescent="0.45">
      <c r="A5" s="6" t="s">
        <v>222</v>
      </c>
      <c r="B5" s="9" t="s">
        <v>218</v>
      </c>
      <c r="C5" s="6" t="s">
        <v>219</v>
      </c>
      <c r="D5" s="18">
        <f ca="1">RANDBETWEEN(500,1000)</f>
        <v>950</v>
      </c>
      <c r="E5" s="19">
        <v>45692</v>
      </c>
      <c r="F5" s="18">
        <v>84</v>
      </c>
      <c r="G5" s="20">
        <v>0.48</v>
      </c>
      <c r="H5" s="18">
        <f t="shared" ca="1" si="0"/>
        <v>77</v>
      </c>
      <c r="I5" s="18">
        <f t="shared" ca="1" si="1"/>
        <v>126</v>
      </c>
      <c r="J5" s="15">
        <f ca="1">K5-L5</f>
        <v>378</v>
      </c>
      <c r="K5" s="15">
        <v>430</v>
      </c>
      <c r="L5" s="15">
        <f ca="1">RANDBETWEEN(30,87)</f>
        <v>52</v>
      </c>
      <c r="M5" s="11">
        <f ca="1">(L5/J5)</f>
        <v>0.13756613756613756</v>
      </c>
      <c r="N5" s="18">
        <v>51</v>
      </c>
      <c r="O5" s="18" t="str">
        <f t="shared" ca="1" si="2"/>
        <v>Optimal</v>
      </c>
      <c r="P5" s="11" t="str">
        <f ca="1">RANDBETWEEN(30,76)&amp;"%"</f>
        <v>39%</v>
      </c>
      <c r="Q5" s="18">
        <f>PRODUCT(K5,N5)</f>
        <v>21930</v>
      </c>
    </row>
    <row r="6" spans="1:17" x14ac:dyDescent="0.45">
      <c r="A6" s="6" t="s">
        <v>223</v>
      </c>
      <c r="B6" s="9" t="s">
        <v>218</v>
      </c>
      <c r="C6" s="6" t="s">
        <v>219</v>
      </c>
      <c r="D6" s="18">
        <f ca="1">RANDBETWEEN(500,1000)</f>
        <v>691</v>
      </c>
      <c r="E6" s="19">
        <v>45436</v>
      </c>
      <c r="F6" s="18">
        <v>33</v>
      </c>
      <c r="G6" s="20">
        <v>0.56999999999999995</v>
      </c>
      <c r="H6" s="18">
        <f t="shared" ca="1" si="0"/>
        <v>70</v>
      </c>
      <c r="I6" s="18">
        <f t="shared" ca="1" si="1"/>
        <v>108</v>
      </c>
      <c r="J6" s="15">
        <f ca="1">K6-L6</f>
        <v>820</v>
      </c>
      <c r="K6" s="15">
        <v>860</v>
      </c>
      <c r="L6" s="15">
        <f ca="1">RANDBETWEEN(30,87)</f>
        <v>40</v>
      </c>
      <c r="M6" s="11">
        <f ca="1">(L6/J6)</f>
        <v>4.878048780487805E-2</v>
      </c>
      <c r="N6" s="18">
        <v>20</v>
      </c>
      <c r="O6" s="18" t="str">
        <f t="shared" ca="1" si="2"/>
        <v>Understocked</v>
      </c>
      <c r="P6" s="11" t="str">
        <f ca="1">RANDBETWEEN(30,76)&amp;"%"</f>
        <v>76%</v>
      </c>
      <c r="Q6" s="18">
        <f>PRODUCT(K6,N6)</f>
        <v>17200</v>
      </c>
    </row>
    <row r="7" spans="1:17" x14ac:dyDescent="0.45">
      <c r="A7" s="6" t="s">
        <v>224</v>
      </c>
      <c r="B7" s="9" t="s">
        <v>218</v>
      </c>
      <c r="C7" s="6" t="s">
        <v>219</v>
      </c>
      <c r="D7" s="18">
        <f ca="1">RANDBETWEEN(500,1000)</f>
        <v>820</v>
      </c>
      <c r="E7" s="19">
        <v>45494</v>
      </c>
      <c r="F7" s="18">
        <v>22</v>
      </c>
      <c r="G7" s="20">
        <v>0.84</v>
      </c>
      <c r="H7" s="18">
        <f t="shared" ca="1" si="0"/>
        <v>54</v>
      </c>
      <c r="I7" s="18">
        <f t="shared" ca="1" si="1"/>
        <v>169</v>
      </c>
      <c r="J7" s="15">
        <f ca="1">K7-L7</f>
        <v>216</v>
      </c>
      <c r="K7" s="15">
        <v>301</v>
      </c>
      <c r="L7" s="15">
        <f ca="1">RANDBETWEEN(30,87)</f>
        <v>85</v>
      </c>
      <c r="M7" s="11">
        <f ca="1">(L7/J7)</f>
        <v>0.39351851851851855</v>
      </c>
      <c r="N7" s="18">
        <v>47</v>
      </c>
      <c r="O7" s="18" t="str">
        <f t="shared" ca="1" si="2"/>
        <v>Understocked</v>
      </c>
      <c r="P7" s="11" t="str">
        <f ca="1">RANDBETWEEN(30,76)&amp;"%"</f>
        <v>34%</v>
      </c>
      <c r="Q7" s="18">
        <f>PRODUCT(K7,N7)</f>
        <v>14147</v>
      </c>
    </row>
    <row r="8" spans="1:17" x14ac:dyDescent="0.45">
      <c r="A8" s="6" t="s">
        <v>300</v>
      </c>
      <c r="B8" s="9" t="s">
        <v>301</v>
      </c>
      <c r="C8" s="6" t="s">
        <v>219</v>
      </c>
      <c r="D8" s="18">
        <f ca="1">RANDBETWEEN(500,1000)</f>
        <v>818</v>
      </c>
      <c r="E8" s="19">
        <v>45372</v>
      </c>
      <c r="F8" s="18">
        <v>100</v>
      </c>
      <c r="G8" s="20">
        <v>0.37</v>
      </c>
      <c r="H8" s="18">
        <f t="shared" ca="1" si="0"/>
        <v>51</v>
      </c>
      <c r="I8" s="18">
        <f t="shared" ca="1" si="1"/>
        <v>183</v>
      </c>
      <c r="J8" s="15">
        <f ca="1">K8-L8</f>
        <v>779</v>
      </c>
      <c r="K8" s="15">
        <v>860</v>
      </c>
      <c r="L8" s="15">
        <f ca="1">RANDBETWEEN(30,87)</f>
        <v>81</v>
      </c>
      <c r="M8" s="11">
        <f ca="1">(L8/J8)</f>
        <v>0.10397946084724005</v>
      </c>
      <c r="N8" s="18">
        <v>47</v>
      </c>
      <c r="O8" s="18" t="str">
        <f t="shared" ca="1" si="2"/>
        <v>Optimal</v>
      </c>
      <c r="P8" s="11" t="str">
        <f ca="1">RANDBETWEEN(30,76)&amp;"%"</f>
        <v>37%</v>
      </c>
      <c r="Q8" s="18">
        <f>PRODUCT(K8,N8)</f>
        <v>40420</v>
      </c>
    </row>
    <row r="9" spans="1:17" x14ac:dyDescent="0.45">
      <c r="A9" s="6" t="s">
        <v>302</v>
      </c>
      <c r="B9" s="9" t="s">
        <v>301</v>
      </c>
      <c r="C9" s="6" t="s">
        <v>219</v>
      </c>
      <c r="D9" s="18">
        <f ca="1">RANDBETWEEN(500,1000)</f>
        <v>766</v>
      </c>
      <c r="E9" s="19">
        <v>45386</v>
      </c>
      <c r="F9" s="18">
        <v>96</v>
      </c>
      <c r="G9" s="20">
        <v>0.82</v>
      </c>
      <c r="H9" s="18">
        <f t="shared" ca="1" si="0"/>
        <v>58</v>
      </c>
      <c r="I9" s="18">
        <f t="shared" ca="1" si="1"/>
        <v>191</v>
      </c>
      <c r="J9" s="15">
        <f ca="1">K9-L9</f>
        <v>816</v>
      </c>
      <c r="K9" s="15">
        <v>860</v>
      </c>
      <c r="L9" s="15">
        <f ca="1">RANDBETWEEN(30,87)</f>
        <v>44</v>
      </c>
      <c r="M9" s="11">
        <f ca="1">(L9/J9)</f>
        <v>5.3921568627450983E-2</v>
      </c>
      <c r="N9" s="18">
        <v>45</v>
      </c>
      <c r="O9" s="18" t="str">
        <f t="shared" ca="1" si="2"/>
        <v>Optimal</v>
      </c>
      <c r="P9" s="11" t="str">
        <f ca="1">RANDBETWEEN(30,76)&amp;"%"</f>
        <v>67%</v>
      </c>
      <c r="Q9" s="18">
        <f>PRODUCT(K9,N9)</f>
        <v>38700</v>
      </c>
    </row>
    <row r="10" spans="1:17" x14ac:dyDescent="0.45">
      <c r="A10" s="6" t="s">
        <v>303</v>
      </c>
      <c r="B10" s="9" t="s">
        <v>301</v>
      </c>
      <c r="C10" s="6" t="s">
        <v>219</v>
      </c>
      <c r="D10" s="18">
        <f ca="1">RANDBETWEEN(500,1000)</f>
        <v>833</v>
      </c>
      <c r="E10" s="19">
        <v>45551</v>
      </c>
      <c r="F10" s="18">
        <v>11</v>
      </c>
      <c r="G10" s="20">
        <v>0.83</v>
      </c>
      <c r="H10" s="18">
        <f t="shared" ca="1" si="0"/>
        <v>64</v>
      </c>
      <c r="I10" s="18">
        <f t="shared" ca="1" si="1"/>
        <v>78</v>
      </c>
      <c r="J10" s="15">
        <f ca="1">K10-L10</f>
        <v>115</v>
      </c>
      <c r="K10" s="15">
        <v>172</v>
      </c>
      <c r="L10" s="15">
        <f ca="1">RANDBETWEEN(30,87)</f>
        <v>57</v>
      </c>
      <c r="M10" s="11">
        <f ca="1">(L10/J10)</f>
        <v>0.4956521739130435</v>
      </c>
      <c r="N10" s="18">
        <v>88</v>
      </c>
      <c r="O10" s="18" t="str">
        <f t="shared" ca="1" si="2"/>
        <v>Understocked</v>
      </c>
      <c r="P10" s="11" t="str">
        <f ca="1">RANDBETWEEN(30,76)&amp;"%"</f>
        <v>68%</v>
      </c>
      <c r="Q10" s="18">
        <f>PRODUCT(K10,N10)</f>
        <v>15136</v>
      </c>
    </row>
    <row r="11" spans="1:17" x14ac:dyDescent="0.45">
      <c r="A11" s="6" t="s">
        <v>304</v>
      </c>
      <c r="B11" s="9" t="s">
        <v>301</v>
      </c>
      <c r="C11" s="6" t="s">
        <v>219</v>
      </c>
      <c r="D11" s="18">
        <f ca="1">RANDBETWEEN(500,1000)</f>
        <v>892</v>
      </c>
      <c r="E11" s="19">
        <v>45673</v>
      </c>
      <c r="F11" s="18">
        <v>99</v>
      </c>
      <c r="G11" s="20">
        <v>0.52</v>
      </c>
      <c r="H11" s="18">
        <f t="shared" ca="1" si="0"/>
        <v>77</v>
      </c>
      <c r="I11" s="18">
        <f t="shared" ca="1" si="1"/>
        <v>152</v>
      </c>
      <c r="J11" s="15">
        <f ca="1">K11-L11</f>
        <v>364.2</v>
      </c>
      <c r="K11" s="15">
        <v>447.2</v>
      </c>
      <c r="L11" s="15">
        <f ca="1">RANDBETWEEN(30,87)</f>
        <v>83</v>
      </c>
      <c r="M11" s="11">
        <f ca="1">(L11/J11)</f>
        <v>0.22789676002196596</v>
      </c>
      <c r="N11" s="18">
        <v>65</v>
      </c>
      <c r="O11" s="18" t="str">
        <f t="shared" ca="1" si="2"/>
        <v>Optimal</v>
      </c>
      <c r="P11" s="11" t="str">
        <f ca="1">RANDBETWEEN(30,76)&amp;"%"</f>
        <v>60%</v>
      </c>
      <c r="Q11" s="18">
        <f>PRODUCT(K11,N11)</f>
        <v>29068</v>
      </c>
    </row>
    <row r="12" spans="1:17" x14ac:dyDescent="0.45">
      <c r="A12" s="6" t="s">
        <v>305</v>
      </c>
      <c r="B12" s="9" t="s">
        <v>301</v>
      </c>
      <c r="C12" s="6" t="s">
        <v>219</v>
      </c>
      <c r="D12" s="18">
        <f ca="1">RANDBETWEEN(500,1000)</f>
        <v>534</v>
      </c>
      <c r="E12" s="19">
        <v>45671</v>
      </c>
      <c r="F12" s="18">
        <v>37</v>
      </c>
      <c r="G12" s="20">
        <v>0.37</v>
      </c>
      <c r="H12" s="18">
        <f t="shared" ca="1" si="0"/>
        <v>54</v>
      </c>
      <c r="I12" s="18">
        <f t="shared" ca="1" si="1"/>
        <v>133</v>
      </c>
      <c r="J12" s="15">
        <f ca="1">K12-L12</f>
        <v>305</v>
      </c>
      <c r="K12" s="15">
        <v>387</v>
      </c>
      <c r="L12" s="15">
        <f ca="1">RANDBETWEEN(30,87)</f>
        <v>82</v>
      </c>
      <c r="M12" s="11">
        <f ca="1">(L12/J12)</f>
        <v>0.26885245901639343</v>
      </c>
      <c r="N12" s="18">
        <v>35</v>
      </c>
      <c r="O12" s="18" t="str">
        <f t="shared" ca="1" si="2"/>
        <v>Understocked</v>
      </c>
      <c r="P12" s="11" t="str">
        <f ca="1">RANDBETWEEN(30,76)&amp;"%"</f>
        <v>76%</v>
      </c>
      <c r="Q12" s="18">
        <f>PRODUCT(K12,N12)</f>
        <v>13545</v>
      </c>
    </row>
    <row r="13" spans="1:17" x14ac:dyDescent="0.45">
      <c r="A13" s="6" t="s">
        <v>306</v>
      </c>
      <c r="B13" s="9" t="s">
        <v>301</v>
      </c>
      <c r="C13" s="6" t="s">
        <v>219</v>
      </c>
      <c r="D13" s="18">
        <f ca="1">RANDBETWEEN(500,1000)</f>
        <v>706</v>
      </c>
      <c r="E13" s="19">
        <v>45705</v>
      </c>
      <c r="F13" s="18">
        <v>75</v>
      </c>
      <c r="G13" s="20">
        <v>0.39</v>
      </c>
      <c r="H13" s="18">
        <f t="shared" ca="1" si="0"/>
        <v>57</v>
      </c>
      <c r="I13" s="18">
        <f t="shared" ca="1" si="1"/>
        <v>164</v>
      </c>
      <c r="J13" s="15">
        <f ca="1">K13-L13</f>
        <v>452.40000000000003</v>
      </c>
      <c r="K13" s="15">
        <v>507.40000000000003</v>
      </c>
      <c r="L13" s="15">
        <f ca="1">RANDBETWEEN(30,87)</f>
        <v>55</v>
      </c>
      <c r="M13" s="11">
        <f ca="1">(L13/J13)</f>
        <v>0.12157382847038019</v>
      </c>
      <c r="N13" s="18">
        <v>69</v>
      </c>
      <c r="O13" s="18" t="str">
        <f t="shared" ca="1" si="2"/>
        <v>Optimal</v>
      </c>
      <c r="P13" s="11" t="str">
        <f ca="1">RANDBETWEEN(30,76)&amp;"%"</f>
        <v>40%</v>
      </c>
      <c r="Q13" s="18">
        <f>PRODUCT(K13,N13)</f>
        <v>35010.600000000006</v>
      </c>
    </row>
    <row r="14" spans="1:17" x14ac:dyDescent="0.45">
      <c r="A14" s="6" t="s">
        <v>307</v>
      </c>
      <c r="B14" s="9" t="s">
        <v>301</v>
      </c>
      <c r="C14" s="6" t="s">
        <v>219</v>
      </c>
      <c r="D14" s="18">
        <f ca="1">RANDBETWEEN(500,1000)</f>
        <v>764</v>
      </c>
      <c r="E14" s="19">
        <v>45554</v>
      </c>
      <c r="F14" s="18">
        <v>23</v>
      </c>
      <c r="G14" s="20">
        <v>0.8</v>
      </c>
      <c r="H14" s="18">
        <f t="shared" ca="1" si="0"/>
        <v>75</v>
      </c>
      <c r="I14" s="18">
        <f t="shared" ca="1" si="1"/>
        <v>195</v>
      </c>
      <c r="J14" s="15">
        <f ca="1">K14-L14</f>
        <v>400</v>
      </c>
      <c r="K14" s="15">
        <v>473</v>
      </c>
      <c r="L14" s="15">
        <f ca="1">RANDBETWEEN(30,87)</f>
        <v>73</v>
      </c>
      <c r="M14" s="11">
        <f ca="1">(L14/J14)</f>
        <v>0.1825</v>
      </c>
      <c r="N14" s="18">
        <v>97</v>
      </c>
      <c r="O14" s="18" t="str">
        <f t="shared" ca="1" si="2"/>
        <v>Understocked</v>
      </c>
      <c r="P14" s="11" t="str">
        <f ca="1">RANDBETWEEN(30,76)&amp;"%"</f>
        <v>45%</v>
      </c>
      <c r="Q14" s="18">
        <f>PRODUCT(K14,N14)</f>
        <v>45881</v>
      </c>
    </row>
    <row r="15" spans="1:17" x14ac:dyDescent="0.45">
      <c r="A15" s="6" t="s">
        <v>308</v>
      </c>
      <c r="B15" s="9" t="s">
        <v>301</v>
      </c>
      <c r="C15" s="6" t="s">
        <v>219</v>
      </c>
      <c r="D15" s="18">
        <f ca="1">RANDBETWEEN(500,1000)</f>
        <v>511</v>
      </c>
      <c r="E15" s="19">
        <v>45562</v>
      </c>
      <c r="F15" s="18">
        <v>68</v>
      </c>
      <c r="G15" s="20">
        <v>0.81</v>
      </c>
      <c r="H15" s="18">
        <f t="shared" ca="1" si="0"/>
        <v>73</v>
      </c>
      <c r="I15" s="18">
        <f t="shared" ca="1" si="1"/>
        <v>78</v>
      </c>
      <c r="J15" s="15">
        <f ca="1">K15-L15</f>
        <v>149.70000000000002</v>
      </c>
      <c r="K15" s="15">
        <v>210.70000000000002</v>
      </c>
      <c r="L15" s="15">
        <f ca="1">RANDBETWEEN(30,87)</f>
        <v>61</v>
      </c>
      <c r="M15" s="11">
        <f ca="1">(L15/J15)</f>
        <v>0.40748162992651965</v>
      </c>
      <c r="N15" s="18">
        <v>70</v>
      </c>
      <c r="O15" s="18" t="str">
        <f t="shared" ca="1" si="2"/>
        <v>Understocked</v>
      </c>
      <c r="P15" s="11" t="str">
        <f ca="1">RANDBETWEEN(30,76)&amp;"%"</f>
        <v>71%</v>
      </c>
      <c r="Q15" s="18">
        <f>PRODUCT(K15,N15)</f>
        <v>14749.000000000002</v>
      </c>
    </row>
    <row r="16" spans="1:17" x14ac:dyDescent="0.45">
      <c r="A16" s="6" t="s">
        <v>309</v>
      </c>
      <c r="B16" s="9" t="s">
        <v>301</v>
      </c>
      <c r="C16" s="6" t="s">
        <v>219</v>
      </c>
      <c r="D16" s="18">
        <f ca="1">RANDBETWEEN(500,1000)</f>
        <v>842</v>
      </c>
      <c r="E16" s="19">
        <v>45608</v>
      </c>
      <c r="F16" s="18">
        <v>53</v>
      </c>
      <c r="G16" s="20">
        <v>0.39</v>
      </c>
      <c r="H16" s="18">
        <f t="shared" ca="1" si="0"/>
        <v>71</v>
      </c>
      <c r="I16" s="18">
        <f t="shared" ca="1" si="1"/>
        <v>180</v>
      </c>
      <c r="J16" s="15">
        <f ca="1">K16-L16</f>
        <v>621</v>
      </c>
      <c r="K16" s="15">
        <v>688</v>
      </c>
      <c r="L16" s="15">
        <f ca="1">RANDBETWEEN(30,87)</f>
        <v>67</v>
      </c>
      <c r="M16" s="11">
        <f ca="1">(L16/J16)</f>
        <v>0.10789049919484701</v>
      </c>
      <c r="N16" s="18">
        <v>82</v>
      </c>
      <c r="O16" s="18" t="str">
        <f t="shared" ca="1" si="2"/>
        <v>Understocked</v>
      </c>
      <c r="P16" s="11" t="str">
        <f ca="1">RANDBETWEEN(30,76)&amp;"%"</f>
        <v>58%</v>
      </c>
      <c r="Q16" s="18">
        <f>PRODUCT(K16,N16)</f>
        <v>56416</v>
      </c>
    </row>
    <row r="17" spans="1:17" x14ac:dyDescent="0.45">
      <c r="A17" s="6" t="s">
        <v>371</v>
      </c>
      <c r="B17" s="9" t="s">
        <v>372</v>
      </c>
      <c r="C17" s="6" t="s">
        <v>219</v>
      </c>
      <c r="D17" s="18">
        <f ca="1">RANDBETWEEN(500,1000)</f>
        <v>567</v>
      </c>
      <c r="E17" s="19">
        <v>45368</v>
      </c>
      <c r="F17" s="18">
        <v>77</v>
      </c>
      <c r="G17" s="20">
        <v>0.4</v>
      </c>
      <c r="H17" s="18">
        <f t="shared" ca="1" si="0"/>
        <v>57</v>
      </c>
      <c r="I17" s="18">
        <f t="shared" ca="1" si="1"/>
        <v>192</v>
      </c>
      <c r="J17" s="15">
        <f ca="1">K17-L17</f>
        <v>440.2</v>
      </c>
      <c r="K17" s="15">
        <v>490.2</v>
      </c>
      <c r="L17" s="15">
        <f ca="1">RANDBETWEEN(30,87)</f>
        <v>50</v>
      </c>
      <c r="M17" s="11">
        <f ca="1">(L17/J17)</f>
        <v>0.11358473421172195</v>
      </c>
      <c r="N17" s="18">
        <v>62</v>
      </c>
      <c r="O17" s="18" t="str">
        <f t="shared" ca="1" si="2"/>
        <v>Optimal</v>
      </c>
      <c r="P17" s="11" t="str">
        <f ca="1">RANDBETWEEN(30,76)&amp;"%"</f>
        <v>47%</v>
      </c>
      <c r="Q17" s="18">
        <f>PRODUCT(K17,N17)</f>
        <v>30392.399999999998</v>
      </c>
    </row>
    <row r="18" spans="1:17" x14ac:dyDescent="0.45">
      <c r="A18" s="6" t="s">
        <v>373</v>
      </c>
      <c r="B18" s="9" t="s">
        <v>372</v>
      </c>
      <c r="C18" s="6" t="s">
        <v>219</v>
      </c>
      <c r="D18" s="18">
        <f ca="1">RANDBETWEEN(500,1000)</f>
        <v>889</v>
      </c>
      <c r="E18" s="19">
        <v>45620</v>
      </c>
      <c r="F18" s="18">
        <v>34</v>
      </c>
      <c r="G18" s="20">
        <v>0.79</v>
      </c>
      <c r="H18" s="18">
        <f t="shared" ca="1" si="0"/>
        <v>74</v>
      </c>
      <c r="I18" s="18">
        <f t="shared" ca="1" si="1"/>
        <v>198</v>
      </c>
      <c r="J18" s="15">
        <f ca="1">K18-L18</f>
        <v>305</v>
      </c>
      <c r="K18" s="15">
        <v>387</v>
      </c>
      <c r="L18" s="15">
        <f ca="1">RANDBETWEEN(30,87)</f>
        <v>82</v>
      </c>
      <c r="M18" s="11">
        <f ca="1">(L18/J18)</f>
        <v>0.26885245901639343</v>
      </c>
      <c r="N18" s="18">
        <v>78</v>
      </c>
      <c r="O18" s="18" t="str">
        <f t="shared" ca="1" si="2"/>
        <v>Understocked</v>
      </c>
      <c r="P18" s="11" t="str">
        <f ca="1">RANDBETWEEN(30,76)&amp;"%"</f>
        <v>60%</v>
      </c>
      <c r="Q18" s="18">
        <f>PRODUCT(K18,N18)</f>
        <v>30186</v>
      </c>
    </row>
    <row r="19" spans="1:17" x14ac:dyDescent="0.45">
      <c r="A19" s="6" t="s">
        <v>374</v>
      </c>
      <c r="B19" s="9" t="s">
        <v>372</v>
      </c>
      <c r="C19" s="6" t="s">
        <v>219</v>
      </c>
      <c r="D19" s="18">
        <f ca="1">RANDBETWEEN(500,1000)</f>
        <v>728</v>
      </c>
      <c r="E19" s="19">
        <v>45379</v>
      </c>
      <c r="F19" s="18">
        <v>72</v>
      </c>
      <c r="G19" s="20">
        <v>0.37</v>
      </c>
      <c r="H19" s="18">
        <f t="shared" ca="1" si="0"/>
        <v>53</v>
      </c>
      <c r="I19" s="18">
        <f t="shared" ca="1" si="1"/>
        <v>183</v>
      </c>
      <c r="J19" s="15">
        <f ca="1">K19-L19</f>
        <v>954</v>
      </c>
      <c r="K19" s="15">
        <v>989</v>
      </c>
      <c r="L19" s="15">
        <f ca="1">RANDBETWEEN(30,87)</f>
        <v>35</v>
      </c>
      <c r="M19" s="11">
        <f ca="1">(L19/J19)</f>
        <v>3.668763102725367E-2</v>
      </c>
      <c r="N19" s="18">
        <v>85</v>
      </c>
      <c r="O19" s="18" t="str">
        <f t="shared" ca="1" si="2"/>
        <v>Optimal</v>
      </c>
      <c r="P19" s="11" t="str">
        <f ca="1">RANDBETWEEN(30,76)&amp;"%"</f>
        <v>71%</v>
      </c>
      <c r="Q19" s="18">
        <f>PRODUCT(K19,N19)</f>
        <v>84065</v>
      </c>
    </row>
    <row r="20" spans="1:17" x14ac:dyDescent="0.45">
      <c r="A20" s="6" t="s">
        <v>375</v>
      </c>
      <c r="B20" s="9" t="s">
        <v>372</v>
      </c>
      <c r="C20" s="6" t="s">
        <v>219</v>
      </c>
      <c r="D20" s="18">
        <f ca="1">RANDBETWEEN(500,1000)</f>
        <v>918</v>
      </c>
      <c r="E20" s="19">
        <v>45391</v>
      </c>
      <c r="F20" s="18">
        <v>39</v>
      </c>
      <c r="G20" s="20">
        <v>0.46</v>
      </c>
      <c r="H20" s="18">
        <f t="shared" ca="1" si="0"/>
        <v>74</v>
      </c>
      <c r="I20" s="18">
        <f t="shared" ca="1" si="1"/>
        <v>100</v>
      </c>
      <c r="J20" s="15">
        <f ca="1">K20-L20</f>
        <v>371</v>
      </c>
      <c r="K20" s="15">
        <v>430</v>
      </c>
      <c r="L20" s="15">
        <f ca="1">RANDBETWEEN(30,87)</f>
        <v>59</v>
      </c>
      <c r="M20" s="11">
        <f ca="1">(L20/J20)</f>
        <v>0.15902964959568733</v>
      </c>
      <c r="N20" s="18">
        <v>98</v>
      </c>
      <c r="O20" s="18" t="str">
        <f t="shared" ca="1" si="2"/>
        <v>Understocked</v>
      </c>
      <c r="P20" s="11" t="str">
        <f ca="1">RANDBETWEEN(30,76)&amp;"%"</f>
        <v>61%</v>
      </c>
      <c r="Q20" s="18">
        <f>PRODUCT(K20,N20)</f>
        <v>42140</v>
      </c>
    </row>
    <row r="21" spans="1:17" x14ac:dyDescent="0.45">
      <c r="A21" s="6" t="s">
        <v>376</v>
      </c>
      <c r="B21" s="9" t="s">
        <v>372</v>
      </c>
      <c r="C21" s="6" t="s">
        <v>219</v>
      </c>
      <c r="D21" s="18">
        <f ca="1">RANDBETWEEN(500,1000)</f>
        <v>712</v>
      </c>
      <c r="E21" s="19">
        <v>45401</v>
      </c>
      <c r="F21" s="18">
        <v>29</v>
      </c>
      <c r="G21" s="20">
        <v>0.5</v>
      </c>
      <c r="H21" s="18">
        <f t="shared" ca="1" si="0"/>
        <v>77</v>
      </c>
      <c r="I21" s="18">
        <f t="shared" ca="1" si="1"/>
        <v>88</v>
      </c>
      <c r="J21" s="15">
        <f ca="1">K21-L21</f>
        <v>132</v>
      </c>
      <c r="K21" s="15">
        <v>215</v>
      </c>
      <c r="L21" s="15">
        <f ca="1">RANDBETWEEN(30,87)</f>
        <v>83</v>
      </c>
      <c r="M21" s="11">
        <f ca="1">(L21/J21)</f>
        <v>0.62878787878787878</v>
      </c>
      <c r="N21" s="18">
        <v>80</v>
      </c>
      <c r="O21" s="18" t="str">
        <f t="shared" ca="1" si="2"/>
        <v>Understocked</v>
      </c>
      <c r="P21" s="11" t="str">
        <f ca="1">RANDBETWEEN(30,76)&amp;"%"</f>
        <v>61%</v>
      </c>
      <c r="Q21" s="18">
        <f>PRODUCT(K21,N21)</f>
        <v>17200</v>
      </c>
    </row>
    <row r="22" spans="1:17" x14ac:dyDescent="0.45">
      <c r="A22" s="6" t="s">
        <v>377</v>
      </c>
      <c r="B22" s="9" t="s">
        <v>372</v>
      </c>
      <c r="C22" s="6" t="s">
        <v>219</v>
      </c>
      <c r="D22" s="18">
        <f ca="1">RANDBETWEEN(500,1000)</f>
        <v>826</v>
      </c>
      <c r="E22" s="19">
        <v>45522</v>
      </c>
      <c r="F22" s="18">
        <v>38</v>
      </c>
      <c r="G22" s="20">
        <v>0.48</v>
      </c>
      <c r="H22" s="18">
        <f t="shared" ca="1" si="0"/>
        <v>61</v>
      </c>
      <c r="I22" s="18">
        <f t="shared" ca="1" si="1"/>
        <v>105</v>
      </c>
      <c r="J22" s="15">
        <f ca="1">K22-L22</f>
        <v>208</v>
      </c>
      <c r="K22" s="15">
        <v>258</v>
      </c>
      <c r="L22" s="15">
        <f ca="1">RANDBETWEEN(30,87)</f>
        <v>50</v>
      </c>
      <c r="M22" s="11">
        <f ca="1">(L22/J22)</f>
        <v>0.24038461538461539</v>
      </c>
      <c r="N22" s="18">
        <v>72</v>
      </c>
      <c r="O22" s="18" t="str">
        <f t="shared" ca="1" si="2"/>
        <v>Understocked</v>
      </c>
      <c r="P22" s="11" t="str">
        <f ca="1">RANDBETWEEN(30,76)&amp;"%"</f>
        <v>72%</v>
      </c>
      <c r="Q22" s="18">
        <f>PRODUCT(K22,N22)</f>
        <v>18576</v>
      </c>
    </row>
    <row r="23" spans="1:17" x14ac:dyDescent="0.45">
      <c r="A23" s="6" t="s">
        <v>378</v>
      </c>
      <c r="B23" s="9" t="s">
        <v>372</v>
      </c>
      <c r="C23" s="6" t="s">
        <v>219</v>
      </c>
      <c r="D23" s="18">
        <f ca="1">RANDBETWEEN(500,1000)</f>
        <v>995</v>
      </c>
      <c r="E23" s="19">
        <v>45679</v>
      </c>
      <c r="F23" s="18">
        <v>97</v>
      </c>
      <c r="G23" s="20">
        <v>0.56999999999999995</v>
      </c>
      <c r="H23" s="18">
        <f t="shared" ca="1" si="0"/>
        <v>60</v>
      </c>
      <c r="I23" s="18">
        <f t="shared" ca="1" si="1"/>
        <v>79</v>
      </c>
      <c r="J23" s="15">
        <f ca="1">K23-L23</f>
        <v>358.2</v>
      </c>
      <c r="K23" s="15">
        <v>404.2</v>
      </c>
      <c r="L23" s="15">
        <f ca="1">RANDBETWEEN(30,87)</f>
        <v>46</v>
      </c>
      <c r="M23" s="11">
        <f ca="1">(L23/J23)</f>
        <v>0.12841987716359576</v>
      </c>
      <c r="N23" s="18">
        <v>57</v>
      </c>
      <c r="O23" s="18" t="str">
        <f t="shared" ca="1" si="2"/>
        <v>Optimal</v>
      </c>
      <c r="P23" s="11" t="str">
        <f ca="1">RANDBETWEEN(30,76)&amp;"%"</f>
        <v>47%</v>
      </c>
      <c r="Q23" s="18">
        <f>PRODUCT(K23,N23)</f>
        <v>23039.399999999998</v>
      </c>
    </row>
    <row r="24" spans="1:17" x14ac:dyDescent="0.45">
      <c r="A24" s="6" t="s">
        <v>379</v>
      </c>
      <c r="B24" s="9" t="s">
        <v>372</v>
      </c>
      <c r="C24" s="6" t="s">
        <v>219</v>
      </c>
      <c r="D24" s="18">
        <f ca="1">RANDBETWEEN(500,1000)</f>
        <v>990</v>
      </c>
      <c r="E24" s="19">
        <v>45562</v>
      </c>
      <c r="F24" s="18">
        <v>61</v>
      </c>
      <c r="G24" s="20">
        <v>0.84</v>
      </c>
      <c r="H24" s="18">
        <f t="shared" ca="1" si="0"/>
        <v>75</v>
      </c>
      <c r="I24" s="18">
        <f t="shared" ca="1" si="1"/>
        <v>90</v>
      </c>
      <c r="J24" s="15">
        <f ca="1">K24-L24</f>
        <v>120</v>
      </c>
      <c r="K24" s="15">
        <v>172</v>
      </c>
      <c r="L24" s="15">
        <f ca="1">RANDBETWEEN(30,87)</f>
        <v>52</v>
      </c>
      <c r="M24" s="11">
        <f ca="1">(L24/J24)</f>
        <v>0.43333333333333335</v>
      </c>
      <c r="N24" s="18">
        <v>73</v>
      </c>
      <c r="O24" s="18" t="str">
        <f t="shared" ca="1" si="2"/>
        <v>Understocked</v>
      </c>
      <c r="P24" s="11" t="str">
        <f ca="1">RANDBETWEEN(30,76)&amp;"%"</f>
        <v>45%</v>
      </c>
      <c r="Q24" s="18">
        <f>PRODUCT(K24,N24)</f>
        <v>12556</v>
      </c>
    </row>
    <row r="25" spans="1:17" x14ac:dyDescent="0.45">
      <c r="A25" s="6" t="s">
        <v>380</v>
      </c>
      <c r="B25" s="9" t="s">
        <v>372</v>
      </c>
      <c r="C25" s="6" t="s">
        <v>219</v>
      </c>
      <c r="D25" s="18">
        <f ca="1">RANDBETWEEN(500,1000)</f>
        <v>977</v>
      </c>
      <c r="E25" s="19">
        <v>45397</v>
      </c>
      <c r="F25" s="18">
        <v>90</v>
      </c>
      <c r="G25" s="20">
        <v>0.72</v>
      </c>
      <c r="H25" s="18">
        <f t="shared" ca="1" si="0"/>
        <v>57</v>
      </c>
      <c r="I25" s="18">
        <f t="shared" ca="1" si="1"/>
        <v>79</v>
      </c>
      <c r="J25" s="15">
        <f ca="1">K25-L25</f>
        <v>460</v>
      </c>
      <c r="K25" s="15">
        <v>516</v>
      </c>
      <c r="L25" s="15">
        <f ca="1">RANDBETWEEN(30,87)</f>
        <v>56</v>
      </c>
      <c r="M25" s="11">
        <f ca="1">(L25/J25)</f>
        <v>0.12173913043478261</v>
      </c>
      <c r="N25" s="18">
        <v>63</v>
      </c>
      <c r="O25" s="18" t="str">
        <f t="shared" ca="1" si="2"/>
        <v>Optimal</v>
      </c>
      <c r="P25" s="11" t="str">
        <f ca="1">RANDBETWEEN(30,76)&amp;"%"</f>
        <v>64%</v>
      </c>
      <c r="Q25" s="18">
        <f>PRODUCT(K25,N25)</f>
        <v>32508</v>
      </c>
    </row>
    <row r="26" spans="1:17" x14ac:dyDescent="0.45">
      <c r="A26" s="6" t="s">
        <v>381</v>
      </c>
      <c r="B26" s="9" t="s">
        <v>372</v>
      </c>
      <c r="C26" s="6" t="s">
        <v>219</v>
      </c>
      <c r="D26" s="18">
        <f ca="1">RANDBETWEEN(500,1000)</f>
        <v>963</v>
      </c>
      <c r="E26" s="19">
        <v>45638</v>
      </c>
      <c r="F26" s="18">
        <v>40</v>
      </c>
      <c r="G26" s="20">
        <v>0.46</v>
      </c>
      <c r="H26" s="18">
        <f t="shared" ca="1" si="0"/>
        <v>57</v>
      </c>
      <c r="I26" s="18">
        <f t="shared" ca="1" si="1"/>
        <v>168</v>
      </c>
      <c r="J26" s="15">
        <f ca="1">K26-L26</f>
        <v>280</v>
      </c>
      <c r="K26" s="15">
        <v>344</v>
      </c>
      <c r="L26" s="15">
        <f ca="1">RANDBETWEEN(30,87)</f>
        <v>64</v>
      </c>
      <c r="M26" s="11">
        <f ca="1">(L26/J26)</f>
        <v>0.22857142857142856</v>
      </c>
      <c r="N26" s="18">
        <v>28</v>
      </c>
      <c r="O26" s="18" t="str">
        <f t="shared" ca="1" si="2"/>
        <v>Understocked</v>
      </c>
      <c r="P26" s="11" t="str">
        <f ca="1">RANDBETWEEN(30,76)&amp;"%"</f>
        <v>34%</v>
      </c>
      <c r="Q26" s="18">
        <f>PRODUCT(K26,N26)</f>
        <v>9632</v>
      </c>
    </row>
    <row r="27" spans="1:17" x14ac:dyDescent="0.45">
      <c r="A27" s="6" t="s">
        <v>659</v>
      </c>
      <c r="B27" s="9" t="s">
        <v>660</v>
      </c>
      <c r="C27" s="6" t="s">
        <v>219</v>
      </c>
      <c r="D27" s="18">
        <f ca="1">RANDBETWEEN(500,1000)</f>
        <v>725</v>
      </c>
      <c r="E27" s="19">
        <v>45349</v>
      </c>
      <c r="F27" s="18">
        <v>87</v>
      </c>
      <c r="G27" s="20">
        <v>0.73</v>
      </c>
      <c r="H27" s="18">
        <f t="shared" ca="1" si="0"/>
        <v>67</v>
      </c>
      <c r="I27" s="18">
        <f t="shared" ca="1" si="1"/>
        <v>104</v>
      </c>
      <c r="J27" s="15">
        <f ca="1">K27-L27</f>
        <v>143</v>
      </c>
      <c r="K27" s="15">
        <v>215</v>
      </c>
      <c r="L27" s="15">
        <f ca="1">RANDBETWEEN(30,87)</f>
        <v>72</v>
      </c>
      <c r="M27" s="11">
        <f ca="1">(L27/J27)</f>
        <v>0.50349650349650354</v>
      </c>
      <c r="N27" s="18">
        <v>73</v>
      </c>
      <c r="O27" s="18" t="str">
        <f t="shared" ca="1" si="2"/>
        <v>Optimal</v>
      </c>
      <c r="P27" s="11" t="str">
        <f ca="1">RANDBETWEEN(30,76)&amp;"%"</f>
        <v>37%</v>
      </c>
      <c r="Q27" s="18">
        <f>PRODUCT(K27,N27)</f>
        <v>15695</v>
      </c>
    </row>
    <row r="28" spans="1:17" x14ac:dyDescent="0.45">
      <c r="A28" s="6" t="s">
        <v>661</v>
      </c>
      <c r="B28" s="9" t="s">
        <v>660</v>
      </c>
      <c r="C28" s="6" t="s">
        <v>219</v>
      </c>
      <c r="D28" s="18">
        <f ca="1">RANDBETWEEN(500,1000)</f>
        <v>777</v>
      </c>
      <c r="E28" s="19">
        <v>45570</v>
      </c>
      <c r="F28" s="18">
        <v>46</v>
      </c>
      <c r="G28" s="20">
        <v>0.69</v>
      </c>
      <c r="H28" s="18">
        <f t="shared" ca="1" si="0"/>
        <v>57</v>
      </c>
      <c r="I28" s="18">
        <f t="shared" ca="1" si="1"/>
        <v>120</v>
      </c>
      <c r="J28" s="15">
        <f ca="1">K28-L28</f>
        <v>159</v>
      </c>
      <c r="K28" s="15">
        <v>215</v>
      </c>
      <c r="L28" s="15">
        <f ca="1">RANDBETWEEN(30,87)</f>
        <v>56</v>
      </c>
      <c r="M28" s="11">
        <f ca="1">(L28/J28)</f>
        <v>0.3522012578616352</v>
      </c>
      <c r="N28" s="18">
        <v>68</v>
      </c>
      <c r="O28" s="18" t="str">
        <f t="shared" ca="1" si="2"/>
        <v>Understocked</v>
      </c>
      <c r="P28" s="11" t="str">
        <f ca="1">RANDBETWEEN(30,76)&amp;"%"</f>
        <v>60%</v>
      </c>
      <c r="Q28" s="18">
        <f>PRODUCT(K28,N28)</f>
        <v>14620</v>
      </c>
    </row>
    <row r="29" spans="1:17" x14ac:dyDescent="0.45">
      <c r="A29" s="6" t="s">
        <v>662</v>
      </c>
      <c r="B29" s="9" t="s">
        <v>660</v>
      </c>
      <c r="C29" s="6" t="s">
        <v>219</v>
      </c>
      <c r="D29" s="18">
        <f ca="1">RANDBETWEEN(500,1000)</f>
        <v>982</v>
      </c>
      <c r="E29" s="19">
        <v>45356</v>
      </c>
      <c r="F29" s="18">
        <v>93</v>
      </c>
      <c r="G29" s="20">
        <v>0.35</v>
      </c>
      <c r="H29" s="18">
        <f t="shared" ca="1" si="0"/>
        <v>73</v>
      </c>
      <c r="I29" s="18">
        <f t="shared" ca="1" si="1"/>
        <v>113</v>
      </c>
      <c r="J29" s="15">
        <f ca="1">K29-L29</f>
        <v>372</v>
      </c>
      <c r="K29" s="15">
        <v>456</v>
      </c>
      <c r="L29" s="15">
        <f ca="1">RANDBETWEEN(30,87)</f>
        <v>84</v>
      </c>
      <c r="M29" s="11">
        <f ca="1">(L29/J29)</f>
        <v>0.22580645161290322</v>
      </c>
      <c r="N29" s="18">
        <v>56</v>
      </c>
      <c r="O29" s="18" t="str">
        <f t="shared" ca="1" si="2"/>
        <v>Optimal</v>
      </c>
      <c r="P29" s="11" t="str">
        <f ca="1">RANDBETWEEN(30,76)&amp;"%"</f>
        <v>41%</v>
      </c>
      <c r="Q29" s="18">
        <f>PRODUCT(K29,N29)</f>
        <v>25536</v>
      </c>
    </row>
    <row r="30" spans="1:17" x14ac:dyDescent="0.45">
      <c r="A30" s="6" t="s">
        <v>664</v>
      </c>
      <c r="B30" s="9" t="s">
        <v>660</v>
      </c>
      <c r="C30" s="6" t="s">
        <v>219</v>
      </c>
      <c r="D30" s="18">
        <f ca="1">RANDBETWEEN(500,1000)</f>
        <v>598</v>
      </c>
      <c r="E30" s="19">
        <v>45561</v>
      </c>
      <c r="F30" s="18">
        <v>85</v>
      </c>
      <c r="G30" s="20">
        <v>0.8</v>
      </c>
      <c r="H30" s="18">
        <f t="shared" ca="1" si="0"/>
        <v>57</v>
      </c>
      <c r="I30" s="18">
        <f t="shared" ca="1" si="1"/>
        <v>164</v>
      </c>
      <c r="J30" s="15">
        <f ca="1">K30-L30</f>
        <v>1465</v>
      </c>
      <c r="K30" s="15">
        <v>1548</v>
      </c>
      <c r="L30" s="15">
        <f ca="1">RANDBETWEEN(30,87)</f>
        <v>83</v>
      </c>
      <c r="M30" s="11">
        <f ca="1">(L30/J30)</f>
        <v>5.665529010238908E-2</v>
      </c>
      <c r="N30" s="18">
        <v>30</v>
      </c>
      <c r="O30" s="18" t="str">
        <f t="shared" ca="1" si="2"/>
        <v>Optimal</v>
      </c>
      <c r="P30" s="11" t="str">
        <f ca="1">RANDBETWEEN(30,76)&amp;"%"</f>
        <v>53%</v>
      </c>
      <c r="Q30" s="18">
        <f>PRODUCT(K30,N30)</f>
        <v>46440</v>
      </c>
    </row>
    <row r="31" spans="1:17" x14ac:dyDescent="0.45">
      <c r="A31" s="6" t="s">
        <v>665</v>
      </c>
      <c r="B31" s="9" t="s">
        <v>660</v>
      </c>
      <c r="C31" s="6" t="s">
        <v>219</v>
      </c>
      <c r="D31" s="18">
        <f ca="1">RANDBETWEEN(500,1000)</f>
        <v>891</v>
      </c>
      <c r="E31" s="19">
        <v>45411</v>
      </c>
      <c r="F31" s="18">
        <v>56</v>
      </c>
      <c r="G31" s="20">
        <v>0.62</v>
      </c>
      <c r="H31" s="18">
        <f t="shared" ca="1" si="0"/>
        <v>72</v>
      </c>
      <c r="I31" s="18">
        <f t="shared" ca="1" si="1"/>
        <v>167</v>
      </c>
      <c r="J31" s="15">
        <f ca="1">K31-L31</f>
        <v>391</v>
      </c>
      <c r="K31" s="15">
        <v>430</v>
      </c>
      <c r="L31" s="15">
        <f ca="1">RANDBETWEEN(30,87)</f>
        <v>39</v>
      </c>
      <c r="M31" s="11">
        <f ca="1">(L31/J31)</f>
        <v>9.9744245524296671E-2</v>
      </c>
      <c r="N31" s="18">
        <v>67</v>
      </c>
      <c r="O31" s="18" t="str">
        <f t="shared" ca="1" si="2"/>
        <v>Understocked</v>
      </c>
      <c r="P31" s="11" t="str">
        <f ca="1">RANDBETWEEN(30,76)&amp;"%"</f>
        <v>55%</v>
      </c>
      <c r="Q31" s="18">
        <f>PRODUCT(K31,N31)</f>
        <v>28810</v>
      </c>
    </row>
    <row r="32" spans="1:17" x14ac:dyDescent="0.45">
      <c r="A32" s="6" t="s">
        <v>666</v>
      </c>
      <c r="B32" s="9" t="s">
        <v>660</v>
      </c>
      <c r="C32" s="6" t="s">
        <v>219</v>
      </c>
      <c r="D32" s="18">
        <f ca="1">RANDBETWEEN(500,1000)</f>
        <v>907</v>
      </c>
      <c r="E32" s="19">
        <v>45455</v>
      </c>
      <c r="F32" s="18">
        <v>65</v>
      </c>
      <c r="G32" s="20">
        <v>0.33</v>
      </c>
      <c r="H32" s="18">
        <f t="shared" ca="1" si="0"/>
        <v>80</v>
      </c>
      <c r="I32" s="18">
        <f t="shared" ca="1" si="1"/>
        <v>187</v>
      </c>
      <c r="J32" s="15">
        <f ca="1">K32-L32</f>
        <v>317</v>
      </c>
      <c r="K32" s="15">
        <v>387</v>
      </c>
      <c r="L32" s="15">
        <f ca="1">RANDBETWEEN(30,87)</f>
        <v>70</v>
      </c>
      <c r="M32" s="11">
        <f ca="1">(L32/J32)</f>
        <v>0.22082018927444794</v>
      </c>
      <c r="N32" s="18">
        <v>32</v>
      </c>
      <c r="O32" s="18" t="str">
        <f t="shared" ca="1" si="2"/>
        <v>Understocked</v>
      </c>
      <c r="P32" s="11" t="str">
        <f ca="1">RANDBETWEEN(30,76)&amp;"%"</f>
        <v>57%</v>
      </c>
      <c r="Q32" s="18">
        <f>PRODUCT(K32,N32)</f>
        <v>12384</v>
      </c>
    </row>
    <row r="33" spans="1:17" x14ac:dyDescent="0.45">
      <c r="A33" s="6" t="s">
        <v>667</v>
      </c>
      <c r="B33" s="9" t="s">
        <v>660</v>
      </c>
      <c r="C33" s="6" t="s">
        <v>219</v>
      </c>
      <c r="D33" s="18">
        <f ca="1">RANDBETWEEN(500,1000)</f>
        <v>870</v>
      </c>
      <c r="E33" s="19">
        <v>45570</v>
      </c>
      <c r="F33" s="18">
        <v>38</v>
      </c>
      <c r="G33" s="20">
        <v>0.43</v>
      </c>
      <c r="H33" s="18">
        <f t="shared" ca="1" si="0"/>
        <v>59</v>
      </c>
      <c r="I33" s="18">
        <f t="shared" ca="1" si="1"/>
        <v>141</v>
      </c>
      <c r="J33" s="15">
        <f ca="1">K33-L33</f>
        <v>107.4</v>
      </c>
      <c r="K33" s="15">
        <v>163.4</v>
      </c>
      <c r="L33" s="15">
        <f ca="1">RANDBETWEEN(30,87)</f>
        <v>56</v>
      </c>
      <c r="M33" s="11">
        <f ca="1">(L33/J33)</f>
        <v>0.52141527001862198</v>
      </c>
      <c r="N33" s="18">
        <v>45</v>
      </c>
      <c r="O33" s="18" t="str">
        <f t="shared" ca="1" si="2"/>
        <v>Understocked</v>
      </c>
      <c r="P33" s="11" t="str">
        <f ca="1">RANDBETWEEN(30,76)&amp;"%"</f>
        <v>30%</v>
      </c>
      <c r="Q33" s="18">
        <f>PRODUCT(K33,N33)</f>
        <v>7353</v>
      </c>
    </row>
    <row r="34" spans="1:17" x14ac:dyDescent="0.45">
      <c r="A34" s="6" t="s">
        <v>679</v>
      </c>
      <c r="B34" s="9" t="s">
        <v>678</v>
      </c>
      <c r="C34" s="6" t="s">
        <v>219</v>
      </c>
      <c r="D34" s="18">
        <f ca="1">RANDBETWEEN(500,1000)</f>
        <v>919</v>
      </c>
      <c r="E34" s="19">
        <v>45411</v>
      </c>
      <c r="F34" s="18">
        <v>82</v>
      </c>
      <c r="G34" s="20">
        <v>0.48</v>
      </c>
      <c r="H34" s="18">
        <f t="shared" ca="1" si="0"/>
        <v>62</v>
      </c>
      <c r="I34" s="18">
        <f t="shared" ca="1" si="1"/>
        <v>71</v>
      </c>
      <c r="J34" s="15">
        <f ca="1">K34-L34</f>
        <v>266</v>
      </c>
      <c r="K34" s="15">
        <v>344</v>
      </c>
      <c r="L34" s="15">
        <f ca="1">RANDBETWEEN(30,87)</f>
        <v>78</v>
      </c>
      <c r="M34" s="11">
        <f ca="1">(L34/J34)</f>
        <v>0.2932330827067669</v>
      </c>
      <c r="N34" s="18">
        <v>21</v>
      </c>
      <c r="O34" s="18" t="str">
        <f t="shared" ca="1" si="2"/>
        <v>Optimal</v>
      </c>
      <c r="P34" s="11" t="str">
        <f ca="1">RANDBETWEEN(30,76)&amp;"%"</f>
        <v>31%</v>
      </c>
      <c r="Q34" s="18">
        <f>PRODUCT(K34,N34)</f>
        <v>7224</v>
      </c>
    </row>
    <row r="35" spans="1:17" x14ac:dyDescent="0.45">
      <c r="A35" s="6" t="s">
        <v>680</v>
      </c>
      <c r="B35" s="9" t="s">
        <v>678</v>
      </c>
      <c r="C35" s="6" t="s">
        <v>219</v>
      </c>
      <c r="D35" s="18">
        <f ca="1">RANDBETWEEN(500,1000)</f>
        <v>731</v>
      </c>
      <c r="E35" s="19">
        <v>45472</v>
      </c>
      <c r="F35" s="18">
        <v>34</v>
      </c>
      <c r="G35" s="20">
        <v>0.6</v>
      </c>
      <c r="H35" s="18">
        <f t="shared" ca="1" si="0"/>
        <v>55</v>
      </c>
      <c r="I35" s="18">
        <f t="shared" ca="1" si="1"/>
        <v>164</v>
      </c>
      <c r="J35" s="15">
        <f ca="1">K35-L35</f>
        <v>144.4</v>
      </c>
      <c r="K35" s="15">
        <v>206.4</v>
      </c>
      <c r="L35" s="15">
        <f ca="1">RANDBETWEEN(30,87)</f>
        <v>62</v>
      </c>
      <c r="M35" s="11">
        <f ca="1">(L35/J35)</f>
        <v>0.4293628808864266</v>
      </c>
      <c r="N35" s="18">
        <v>77</v>
      </c>
      <c r="O35" s="18" t="str">
        <f t="shared" ca="1" si="2"/>
        <v>Understocked</v>
      </c>
      <c r="P35" s="11" t="str">
        <f ca="1">RANDBETWEEN(30,76)&amp;"%"</f>
        <v>37%</v>
      </c>
      <c r="Q35" s="18">
        <f>PRODUCT(K35,N35)</f>
        <v>15892.800000000001</v>
      </c>
    </row>
    <row r="36" spans="1:17" x14ac:dyDescent="0.45">
      <c r="A36" s="6" t="s">
        <v>683</v>
      </c>
      <c r="B36" s="9" t="s">
        <v>678</v>
      </c>
      <c r="C36" s="6" t="s">
        <v>219</v>
      </c>
      <c r="D36" s="18">
        <f ca="1">RANDBETWEEN(500,1000)</f>
        <v>669</v>
      </c>
      <c r="E36" s="19">
        <v>45525</v>
      </c>
      <c r="F36" s="18">
        <v>16</v>
      </c>
      <c r="G36" s="20">
        <v>0.66</v>
      </c>
      <c r="H36" s="18">
        <f t="shared" ca="1" si="0"/>
        <v>53</v>
      </c>
      <c r="I36" s="18">
        <f t="shared" ca="1" si="1"/>
        <v>150</v>
      </c>
      <c r="J36" s="15">
        <f ca="1">K36-L36</f>
        <v>1230.4000000000001</v>
      </c>
      <c r="K36" s="15">
        <v>1281.4000000000001</v>
      </c>
      <c r="L36" s="15">
        <f ca="1">RANDBETWEEN(30,87)</f>
        <v>51</v>
      </c>
      <c r="M36" s="11">
        <f ca="1">(L36/J36)</f>
        <v>4.1449934980494145E-2</v>
      </c>
      <c r="N36" s="18">
        <v>50</v>
      </c>
      <c r="O36" s="18" t="str">
        <f t="shared" ca="1" si="2"/>
        <v>Understocked</v>
      </c>
      <c r="P36" s="11" t="str">
        <f ca="1">RANDBETWEEN(30,76)&amp;"%"</f>
        <v>40%</v>
      </c>
      <c r="Q36" s="18">
        <f>PRODUCT(K36,N36)</f>
        <v>64070.000000000007</v>
      </c>
    </row>
    <row r="37" spans="1:17" x14ac:dyDescent="0.45">
      <c r="A37" s="6" t="s">
        <v>868</v>
      </c>
      <c r="B37" s="9" t="s">
        <v>869</v>
      </c>
      <c r="C37" s="6" t="s">
        <v>219</v>
      </c>
      <c r="D37" s="18">
        <f ca="1">RANDBETWEEN(500,1000)</f>
        <v>536</v>
      </c>
      <c r="E37" s="19">
        <v>45499</v>
      </c>
      <c r="F37" s="18">
        <v>69</v>
      </c>
      <c r="G37" s="20">
        <v>0.47</v>
      </c>
      <c r="H37" s="18">
        <f t="shared" ca="1" si="0"/>
        <v>72</v>
      </c>
      <c r="I37" s="18">
        <f t="shared" ca="1" si="1"/>
        <v>133</v>
      </c>
      <c r="J37" s="15">
        <f ca="1">K37-L37</f>
        <v>278</v>
      </c>
      <c r="K37" s="15">
        <v>344</v>
      </c>
      <c r="L37" s="15">
        <f ca="1">RANDBETWEEN(30,87)</f>
        <v>66</v>
      </c>
      <c r="M37" s="11">
        <f ca="1">(L37/J37)</f>
        <v>0.23741007194244604</v>
      </c>
      <c r="N37" s="18">
        <v>98</v>
      </c>
      <c r="O37" s="18" t="str">
        <f t="shared" ca="1" si="2"/>
        <v>Understocked</v>
      </c>
      <c r="P37" s="11" t="str">
        <f ca="1">RANDBETWEEN(30,76)&amp;"%"</f>
        <v>31%</v>
      </c>
      <c r="Q37" s="18">
        <f>PRODUCT(K37,N37)</f>
        <v>33712</v>
      </c>
    </row>
    <row r="38" spans="1:17" x14ac:dyDescent="0.45">
      <c r="A38" s="6" t="s">
        <v>870</v>
      </c>
      <c r="B38" s="9" t="s">
        <v>869</v>
      </c>
      <c r="C38" s="6" t="s">
        <v>219</v>
      </c>
      <c r="D38" s="18">
        <f ca="1">RANDBETWEEN(500,1000)</f>
        <v>970</v>
      </c>
      <c r="E38" s="19">
        <v>45399</v>
      </c>
      <c r="F38" s="18">
        <v>50</v>
      </c>
      <c r="G38" s="20">
        <v>0.53</v>
      </c>
      <c r="H38" s="18">
        <f t="shared" ca="1" si="0"/>
        <v>58</v>
      </c>
      <c r="I38" s="18">
        <f t="shared" ca="1" si="1"/>
        <v>101</v>
      </c>
      <c r="J38" s="15">
        <f ca="1">K38-L38</f>
        <v>177.72</v>
      </c>
      <c r="K38" s="15">
        <v>216.72</v>
      </c>
      <c r="L38" s="15">
        <f ca="1">RANDBETWEEN(30,87)</f>
        <v>39</v>
      </c>
      <c r="M38" s="11">
        <f ca="1">(L38/J38)</f>
        <v>0.21944632005401757</v>
      </c>
      <c r="N38" s="18">
        <v>83</v>
      </c>
      <c r="O38" s="18" t="str">
        <f t="shared" ca="1" si="2"/>
        <v>Understocked</v>
      </c>
      <c r="P38" s="11" t="str">
        <f ca="1">RANDBETWEEN(30,76)&amp;"%"</f>
        <v>48%</v>
      </c>
      <c r="Q38" s="18">
        <f>PRODUCT(K38,N38)</f>
        <v>17987.759999999998</v>
      </c>
    </row>
    <row r="39" spans="1:17" x14ac:dyDescent="0.45">
      <c r="A39" s="6" t="s">
        <v>871</v>
      </c>
      <c r="B39" s="9" t="s">
        <v>869</v>
      </c>
      <c r="C39" s="6" t="s">
        <v>219</v>
      </c>
      <c r="D39" s="18">
        <f ca="1">RANDBETWEEN(500,1000)</f>
        <v>937</v>
      </c>
      <c r="E39" s="19">
        <v>45697</v>
      </c>
      <c r="F39" s="18">
        <v>26</v>
      </c>
      <c r="G39" s="20">
        <v>0.78</v>
      </c>
      <c r="H39" s="18">
        <f t="shared" ca="1" si="0"/>
        <v>57</v>
      </c>
      <c r="I39" s="18">
        <f t="shared" ca="1" si="1"/>
        <v>138</v>
      </c>
      <c r="J39" s="15">
        <f ca="1">K39-L39</f>
        <v>221</v>
      </c>
      <c r="K39" s="15">
        <v>258</v>
      </c>
      <c r="L39" s="15">
        <f ca="1">RANDBETWEEN(30,87)</f>
        <v>37</v>
      </c>
      <c r="M39" s="11">
        <f ca="1">(L39/J39)</f>
        <v>0.167420814479638</v>
      </c>
      <c r="N39" s="18">
        <v>47</v>
      </c>
      <c r="O39" s="18" t="str">
        <f t="shared" ca="1" si="2"/>
        <v>Understocked</v>
      </c>
      <c r="P39" s="11" t="str">
        <f ca="1">RANDBETWEEN(30,76)&amp;"%"</f>
        <v>30%</v>
      </c>
      <c r="Q39" s="18">
        <f>PRODUCT(K39,N39)</f>
        <v>12126</v>
      </c>
    </row>
    <row r="40" spans="1:17" x14ac:dyDescent="0.45">
      <c r="A40" s="6" t="s">
        <v>872</v>
      </c>
      <c r="B40" s="9" t="s">
        <v>869</v>
      </c>
      <c r="C40" s="6" t="s">
        <v>219</v>
      </c>
      <c r="D40" s="18">
        <f ca="1">RANDBETWEEN(500,1000)</f>
        <v>634</v>
      </c>
      <c r="E40" s="19">
        <v>45620</v>
      </c>
      <c r="F40" s="18">
        <v>48</v>
      </c>
      <c r="G40" s="20">
        <v>0.39</v>
      </c>
      <c r="H40" s="18">
        <f t="shared" ca="1" si="0"/>
        <v>77</v>
      </c>
      <c r="I40" s="18">
        <f t="shared" ca="1" si="1"/>
        <v>101</v>
      </c>
      <c r="J40" s="15">
        <f ca="1">K40-L40</f>
        <v>613</v>
      </c>
      <c r="K40" s="15">
        <v>688</v>
      </c>
      <c r="L40" s="15">
        <f ca="1">RANDBETWEEN(30,87)</f>
        <v>75</v>
      </c>
      <c r="M40" s="11">
        <f ca="1">(L40/J40)</f>
        <v>0.12234910277324633</v>
      </c>
      <c r="N40" s="18">
        <v>27</v>
      </c>
      <c r="O40" s="18" t="str">
        <f t="shared" ca="1" si="2"/>
        <v>Understocked</v>
      </c>
      <c r="P40" s="11" t="str">
        <f ca="1">RANDBETWEEN(30,76)&amp;"%"</f>
        <v>35%</v>
      </c>
      <c r="Q40" s="18">
        <f>PRODUCT(K40,N40)</f>
        <v>18576</v>
      </c>
    </row>
    <row r="41" spans="1:17" x14ac:dyDescent="0.45">
      <c r="A41" s="6" t="s">
        <v>873</v>
      </c>
      <c r="B41" s="9" t="s">
        <v>869</v>
      </c>
      <c r="C41" s="6" t="s">
        <v>219</v>
      </c>
      <c r="D41" s="18">
        <f ca="1">RANDBETWEEN(500,1000)</f>
        <v>680</v>
      </c>
      <c r="E41" s="19">
        <v>45428</v>
      </c>
      <c r="F41" s="18">
        <v>50</v>
      </c>
      <c r="G41" s="20">
        <v>0.87</v>
      </c>
      <c r="H41" s="18">
        <f t="shared" ca="1" si="0"/>
        <v>78</v>
      </c>
      <c r="I41" s="18">
        <f t="shared" ca="1" si="1"/>
        <v>192</v>
      </c>
      <c r="J41" s="15">
        <f ca="1">K41-L41</f>
        <v>205.79999999999998</v>
      </c>
      <c r="K41" s="15">
        <v>240.79999999999998</v>
      </c>
      <c r="L41" s="15">
        <f ca="1">RANDBETWEEN(30,87)</f>
        <v>35</v>
      </c>
      <c r="M41" s="11">
        <f ca="1">(L41/J41)</f>
        <v>0.17006802721088438</v>
      </c>
      <c r="N41" s="18">
        <v>70</v>
      </c>
      <c r="O41" s="18" t="str">
        <f t="shared" ca="1" si="2"/>
        <v>Understocked</v>
      </c>
      <c r="P41" s="11" t="str">
        <f ca="1">RANDBETWEEN(30,76)&amp;"%"</f>
        <v>54%</v>
      </c>
      <c r="Q41" s="18">
        <f>PRODUCT(K41,N41)</f>
        <v>16856</v>
      </c>
    </row>
    <row r="42" spans="1:17" x14ac:dyDescent="0.45">
      <c r="A42" s="6" t="s">
        <v>874</v>
      </c>
      <c r="B42" s="9" t="s">
        <v>869</v>
      </c>
      <c r="C42" s="6" t="s">
        <v>219</v>
      </c>
      <c r="D42" s="18">
        <f ca="1">RANDBETWEEN(500,1000)</f>
        <v>648</v>
      </c>
      <c r="E42" s="19">
        <v>45364</v>
      </c>
      <c r="F42" s="18">
        <v>61</v>
      </c>
      <c r="G42" s="20">
        <v>0.33</v>
      </c>
      <c r="H42" s="18">
        <f t="shared" ca="1" si="0"/>
        <v>69</v>
      </c>
      <c r="I42" s="18">
        <f t="shared" ca="1" si="1"/>
        <v>92</v>
      </c>
      <c r="J42" s="15">
        <f ca="1">K42-L42</f>
        <v>814</v>
      </c>
      <c r="K42" s="15">
        <v>860</v>
      </c>
      <c r="L42" s="15">
        <f ca="1">RANDBETWEEN(30,87)</f>
        <v>46</v>
      </c>
      <c r="M42" s="11">
        <f ca="1">(L42/J42)</f>
        <v>5.6511056511056514E-2</v>
      </c>
      <c r="N42" s="18">
        <v>71</v>
      </c>
      <c r="O42" s="18" t="str">
        <f t="shared" ca="1" si="2"/>
        <v>Understocked</v>
      </c>
      <c r="P42" s="11" t="str">
        <f ca="1">RANDBETWEEN(30,76)&amp;"%"</f>
        <v>67%</v>
      </c>
      <c r="Q42" s="18">
        <f>PRODUCT(K42,N42)</f>
        <v>61060</v>
      </c>
    </row>
    <row r="43" spans="1:17" x14ac:dyDescent="0.45">
      <c r="A43" s="6" t="s">
        <v>875</v>
      </c>
      <c r="B43" s="9" t="s">
        <v>869</v>
      </c>
      <c r="C43" s="6" t="s">
        <v>219</v>
      </c>
      <c r="D43" s="18">
        <f ca="1">RANDBETWEEN(500,1000)</f>
        <v>849</v>
      </c>
      <c r="E43" s="19">
        <v>45489</v>
      </c>
      <c r="F43" s="18">
        <v>99</v>
      </c>
      <c r="G43" s="20">
        <v>0.32</v>
      </c>
      <c r="H43" s="18">
        <f t="shared" ca="1" si="0"/>
        <v>50</v>
      </c>
      <c r="I43" s="18">
        <f t="shared" ca="1" si="1"/>
        <v>169</v>
      </c>
      <c r="J43" s="15">
        <f ca="1">K43-L43</f>
        <v>48</v>
      </c>
      <c r="K43" s="15">
        <v>86</v>
      </c>
      <c r="L43" s="15">
        <f ca="1">RANDBETWEEN(30,87)</f>
        <v>38</v>
      </c>
      <c r="M43" s="11">
        <f ca="1">(L43/J43)</f>
        <v>0.79166666666666663</v>
      </c>
      <c r="N43" s="18">
        <v>49</v>
      </c>
      <c r="O43" s="18" t="str">
        <f t="shared" ca="1" si="2"/>
        <v>Optimal</v>
      </c>
      <c r="P43" s="11" t="str">
        <f ca="1">RANDBETWEEN(30,76)&amp;"%"</f>
        <v>38%</v>
      </c>
      <c r="Q43" s="18">
        <f>PRODUCT(K43,N43)</f>
        <v>4214</v>
      </c>
    </row>
    <row r="44" spans="1:17" x14ac:dyDescent="0.45">
      <c r="A44" s="6" t="s">
        <v>876</v>
      </c>
      <c r="B44" s="9" t="s">
        <v>869</v>
      </c>
      <c r="C44" s="6" t="s">
        <v>219</v>
      </c>
      <c r="D44" s="18">
        <f ca="1">RANDBETWEEN(500,1000)</f>
        <v>899</v>
      </c>
      <c r="E44" s="19">
        <v>45680</v>
      </c>
      <c r="F44" s="18">
        <v>28</v>
      </c>
      <c r="G44" s="20">
        <v>0.9</v>
      </c>
      <c r="H44" s="18">
        <f t="shared" ca="1" si="0"/>
        <v>68</v>
      </c>
      <c r="I44" s="18">
        <f t="shared" ca="1" si="1"/>
        <v>104</v>
      </c>
      <c r="J44" s="15">
        <f ca="1">K44-L44</f>
        <v>217</v>
      </c>
      <c r="K44" s="15">
        <v>258</v>
      </c>
      <c r="L44" s="15">
        <f ca="1">RANDBETWEEN(30,87)</f>
        <v>41</v>
      </c>
      <c r="M44" s="11">
        <f ca="1">(L44/J44)</f>
        <v>0.1889400921658986</v>
      </c>
      <c r="N44" s="18">
        <v>31</v>
      </c>
      <c r="O44" s="18" t="str">
        <f t="shared" ca="1" si="2"/>
        <v>Understocked</v>
      </c>
      <c r="P44" s="11" t="str">
        <f ca="1">RANDBETWEEN(30,76)&amp;"%"</f>
        <v>60%</v>
      </c>
      <c r="Q44" s="18">
        <f>PRODUCT(K44,N44)</f>
        <v>7998</v>
      </c>
    </row>
    <row r="45" spans="1:17" x14ac:dyDescent="0.45">
      <c r="A45" s="6" t="s">
        <v>922</v>
      </c>
      <c r="B45" s="9" t="s">
        <v>923</v>
      </c>
      <c r="C45" s="6" t="s">
        <v>219</v>
      </c>
      <c r="D45" s="18">
        <f ca="1">RANDBETWEEN(500,1000)</f>
        <v>695</v>
      </c>
      <c r="E45" s="19">
        <v>45453</v>
      </c>
      <c r="F45" s="18">
        <v>65</v>
      </c>
      <c r="G45" s="20">
        <v>0.51</v>
      </c>
      <c r="H45" s="18">
        <f t="shared" ca="1" si="0"/>
        <v>50</v>
      </c>
      <c r="I45" s="18">
        <f t="shared" ca="1" si="1"/>
        <v>158</v>
      </c>
      <c r="J45" s="15">
        <f ca="1">K45-L45</f>
        <v>293</v>
      </c>
      <c r="K45" s="15">
        <v>344</v>
      </c>
      <c r="L45" s="15">
        <f ca="1">RANDBETWEEN(30,87)</f>
        <v>51</v>
      </c>
      <c r="M45" s="11">
        <f ca="1">(L45/J45)</f>
        <v>0.17406143344709898</v>
      </c>
      <c r="N45" s="18">
        <v>100</v>
      </c>
      <c r="O45" s="18" t="str">
        <f t="shared" ca="1" si="2"/>
        <v>Optimal</v>
      </c>
      <c r="P45" s="11" t="str">
        <f ca="1">RANDBETWEEN(30,76)&amp;"%"</f>
        <v>48%</v>
      </c>
      <c r="Q45" s="18">
        <f>PRODUCT(K45,N45)</f>
        <v>34400</v>
      </c>
    </row>
    <row r="46" spans="1:17" x14ac:dyDescent="0.45">
      <c r="A46" s="6" t="s">
        <v>924</v>
      </c>
      <c r="B46" s="9" t="s">
        <v>923</v>
      </c>
      <c r="C46" s="6" t="s">
        <v>219</v>
      </c>
      <c r="D46" s="18">
        <f ca="1">RANDBETWEEN(500,1000)</f>
        <v>559</v>
      </c>
      <c r="E46" s="19">
        <v>45370</v>
      </c>
      <c r="F46" s="18">
        <v>40</v>
      </c>
      <c r="G46" s="20">
        <v>0.44</v>
      </c>
      <c r="H46" s="18">
        <f t="shared" ca="1" si="0"/>
        <v>68</v>
      </c>
      <c r="I46" s="18">
        <f t="shared" ca="1" si="1"/>
        <v>124</v>
      </c>
      <c r="J46" s="15">
        <f ca="1">K46-L46</f>
        <v>296</v>
      </c>
      <c r="K46" s="15">
        <v>344</v>
      </c>
      <c r="L46" s="15">
        <f ca="1">RANDBETWEEN(30,87)</f>
        <v>48</v>
      </c>
      <c r="M46" s="11">
        <f ca="1">(L46/J46)</f>
        <v>0.16216216216216217</v>
      </c>
      <c r="N46" s="18">
        <v>54</v>
      </c>
      <c r="O46" s="18" t="str">
        <f t="shared" ca="1" si="2"/>
        <v>Understocked</v>
      </c>
      <c r="P46" s="11" t="str">
        <f ca="1">RANDBETWEEN(30,76)&amp;"%"</f>
        <v>74%</v>
      </c>
      <c r="Q46" s="18">
        <f>PRODUCT(K46,N46)</f>
        <v>18576</v>
      </c>
    </row>
    <row r="47" spans="1:17" x14ac:dyDescent="0.45">
      <c r="A47" s="6" t="s">
        <v>925</v>
      </c>
      <c r="B47" s="9" t="s">
        <v>923</v>
      </c>
      <c r="C47" s="6" t="s">
        <v>219</v>
      </c>
      <c r="D47" s="18">
        <f ca="1">RANDBETWEEN(500,1000)</f>
        <v>702</v>
      </c>
      <c r="E47" s="19">
        <v>45673</v>
      </c>
      <c r="F47" s="18">
        <v>12</v>
      </c>
      <c r="G47" s="20">
        <v>0.56999999999999995</v>
      </c>
      <c r="H47" s="18">
        <f t="shared" ca="1" si="0"/>
        <v>57</v>
      </c>
      <c r="I47" s="18">
        <f t="shared" ca="1" si="1"/>
        <v>152</v>
      </c>
      <c r="J47" s="15">
        <f ca="1">K47-L47</f>
        <v>724</v>
      </c>
      <c r="K47" s="15">
        <v>774</v>
      </c>
      <c r="L47" s="15">
        <f ca="1">RANDBETWEEN(30,87)</f>
        <v>50</v>
      </c>
      <c r="M47" s="11">
        <f ca="1">(L47/J47)</f>
        <v>6.9060773480662987E-2</v>
      </c>
      <c r="N47" s="18">
        <v>75</v>
      </c>
      <c r="O47" s="18" t="str">
        <f t="shared" ca="1" si="2"/>
        <v>Understocked</v>
      </c>
      <c r="P47" s="11" t="str">
        <f ca="1">RANDBETWEEN(30,76)&amp;"%"</f>
        <v>36%</v>
      </c>
      <c r="Q47" s="18">
        <f>PRODUCT(K47,N47)</f>
        <v>58050</v>
      </c>
    </row>
    <row r="48" spans="1:17" x14ac:dyDescent="0.45">
      <c r="A48" s="6" t="s">
        <v>926</v>
      </c>
      <c r="B48" s="9" t="s">
        <v>923</v>
      </c>
      <c r="C48" s="6" t="s">
        <v>219</v>
      </c>
      <c r="D48" s="18">
        <f ca="1">RANDBETWEEN(500,1000)</f>
        <v>604</v>
      </c>
      <c r="E48" s="19">
        <v>45453</v>
      </c>
      <c r="F48" s="18">
        <v>59</v>
      </c>
      <c r="G48" s="20">
        <v>0.56999999999999995</v>
      </c>
      <c r="H48" s="18">
        <f t="shared" ca="1" si="0"/>
        <v>70</v>
      </c>
      <c r="I48" s="18">
        <f t="shared" ca="1" si="1"/>
        <v>77</v>
      </c>
      <c r="J48" s="15">
        <f ca="1">K48-L48</f>
        <v>564</v>
      </c>
      <c r="K48" s="15">
        <v>602</v>
      </c>
      <c r="L48" s="15">
        <f ca="1">RANDBETWEEN(30,87)</f>
        <v>38</v>
      </c>
      <c r="M48" s="11">
        <f ca="1">(L48/J48)</f>
        <v>6.7375886524822695E-2</v>
      </c>
      <c r="N48" s="18">
        <v>32</v>
      </c>
      <c r="O48" s="18" t="str">
        <f t="shared" ca="1" si="2"/>
        <v>Understocked</v>
      </c>
      <c r="P48" s="11" t="str">
        <f ca="1">RANDBETWEEN(30,76)&amp;"%"</f>
        <v>67%</v>
      </c>
      <c r="Q48" s="18">
        <f>PRODUCT(K48,N48)</f>
        <v>19264</v>
      </c>
    </row>
    <row r="49" spans="1:17" x14ac:dyDescent="0.45">
      <c r="A49" s="6" t="s">
        <v>927</v>
      </c>
      <c r="B49" s="9" t="s">
        <v>923</v>
      </c>
      <c r="C49" s="6" t="s">
        <v>219</v>
      </c>
      <c r="D49" s="18">
        <f ca="1">RANDBETWEEN(500,1000)</f>
        <v>897</v>
      </c>
      <c r="E49" s="19">
        <v>45604</v>
      </c>
      <c r="F49" s="18">
        <v>22</v>
      </c>
      <c r="G49" s="20">
        <v>0.49</v>
      </c>
      <c r="H49" s="18">
        <f t="shared" ca="1" si="0"/>
        <v>51</v>
      </c>
      <c r="I49" s="18">
        <f t="shared" ca="1" si="1"/>
        <v>166</v>
      </c>
      <c r="J49" s="15">
        <f ca="1">K49-L49</f>
        <v>822</v>
      </c>
      <c r="K49" s="15">
        <v>860</v>
      </c>
      <c r="L49" s="15">
        <f ca="1">RANDBETWEEN(30,87)</f>
        <v>38</v>
      </c>
      <c r="M49" s="11">
        <f ca="1">(L49/J49)</f>
        <v>4.6228710462287104E-2</v>
      </c>
      <c r="N49" s="18">
        <v>62</v>
      </c>
      <c r="O49" s="18" t="str">
        <f t="shared" ca="1" si="2"/>
        <v>Understocked</v>
      </c>
      <c r="P49" s="11" t="str">
        <f ca="1">RANDBETWEEN(30,76)&amp;"%"</f>
        <v>36%</v>
      </c>
      <c r="Q49" s="18">
        <f>PRODUCT(K49,N49)</f>
        <v>53320</v>
      </c>
    </row>
    <row r="50" spans="1:17" x14ac:dyDescent="0.45">
      <c r="A50" s="6" t="s">
        <v>928</v>
      </c>
      <c r="B50" s="9" t="s">
        <v>923</v>
      </c>
      <c r="C50" s="6" t="s">
        <v>219</v>
      </c>
      <c r="D50" s="18">
        <f ca="1">RANDBETWEEN(500,1000)</f>
        <v>891</v>
      </c>
      <c r="E50" s="19">
        <v>45472</v>
      </c>
      <c r="F50" s="18">
        <v>12</v>
      </c>
      <c r="G50" s="20">
        <v>0.62</v>
      </c>
      <c r="H50" s="18">
        <f t="shared" ca="1" si="0"/>
        <v>50</v>
      </c>
      <c r="I50" s="18">
        <f t="shared" ca="1" si="1"/>
        <v>162</v>
      </c>
      <c r="J50" s="15">
        <f ca="1">K50-L50</f>
        <v>577</v>
      </c>
      <c r="K50" s="15">
        <v>645</v>
      </c>
      <c r="L50" s="15">
        <f ca="1">RANDBETWEEN(30,87)</f>
        <v>68</v>
      </c>
      <c r="M50" s="11">
        <f ca="1">(L50/J50)</f>
        <v>0.11785095320623917</v>
      </c>
      <c r="N50" s="18">
        <v>75</v>
      </c>
      <c r="O50" s="18" t="str">
        <f t="shared" ca="1" si="2"/>
        <v>Understocked</v>
      </c>
      <c r="P50" s="11" t="str">
        <f ca="1">RANDBETWEEN(30,76)&amp;"%"</f>
        <v>60%</v>
      </c>
      <c r="Q50" s="18">
        <f>PRODUCT(K50,N50)</f>
        <v>48375</v>
      </c>
    </row>
    <row r="51" spans="1:17" x14ac:dyDescent="0.45">
      <c r="A51" s="6" t="s">
        <v>929</v>
      </c>
      <c r="B51" s="9" t="s">
        <v>923</v>
      </c>
      <c r="C51" s="6" t="s">
        <v>219</v>
      </c>
      <c r="D51" s="18">
        <f ca="1">RANDBETWEEN(500,1000)</f>
        <v>594</v>
      </c>
      <c r="E51" s="19">
        <v>45628</v>
      </c>
      <c r="F51" s="18">
        <v>94</v>
      </c>
      <c r="G51" s="20">
        <v>0.53</v>
      </c>
      <c r="H51" s="18">
        <f t="shared" ca="1" si="0"/>
        <v>71</v>
      </c>
      <c r="I51" s="18">
        <f t="shared" ca="1" si="1"/>
        <v>133</v>
      </c>
      <c r="J51" s="15">
        <f ca="1">K51-L51</f>
        <v>134</v>
      </c>
      <c r="K51" s="15">
        <v>215</v>
      </c>
      <c r="L51" s="15">
        <f ca="1">RANDBETWEEN(30,87)</f>
        <v>81</v>
      </c>
      <c r="M51" s="11">
        <f ca="1">(L51/J51)</f>
        <v>0.60447761194029848</v>
      </c>
      <c r="N51" s="18">
        <v>47</v>
      </c>
      <c r="O51" s="18" t="str">
        <f t="shared" ca="1" si="2"/>
        <v>Optimal</v>
      </c>
      <c r="P51" s="11" t="str">
        <f ca="1">RANDBETWEEN(30,76)&amp;"%"</f>
        <v>58%</v>
      </c>
      <c r="Q51" s="18">
        <f>PRODUCT(K51,N51)</f>
        <v>10105</v>
      </c>
    </row>
    <row r="52" spans="1:17" x14ac:dyDescent="0.45">
      <c r="A52" s="6" t="s">
        <v>930</v>
      </c>
      <c r="B52" s="9" t="s">
        <v>923</v>
      </c>
      <c r="C52" s="6" t="s">
        <v>219</v>
      </c>
      <c r="D52" s="18">
        <f ca="1">RANDBETWEEN(500,1000)</f>
        <v>785</v>
      </c>
      <c r="E52" s="19">
        <v>45624</v>
      </c>
      <c r="F52" s="18">
        <v>41</v>
      </c>
      <c r="G52" s="20">
        <v>0.36</v>
      </c>
      <c r="H52" s="18">
        <f t="shared" ca="1" si="0"/>
        <v>56</v>
      </c>
      <c r="I52" s="18">
        <f t="shared" ca="1" si="1"/>
        <v>76</v>
      </c>
      <c r="J52" s="15">
        <f ca="1">K52-L52</f>
        <v>154.5</v>
      </c>
      <c r="K52" s="15">
        <v>236.5</v>
      </c>
      <c r="L52" s="15">
        <f ca="1">RANDBETWEEN(30,87)</f>
        <v>82</v>
      </c>
      <c r="M52" s="11">
        <f ca="1">(L52/J52)</f>
        <v>0.53074433656957931</v>
      </c>
      <c r="N52" s="18">
        <v>42</v>
      </c>
      <c r="O52" s="18" t="str">
        <f t="shared" ca="1" si="2"/>
        <v>Understocked</v>
      </c>
      <c r="P52" s="11" t="str">
        <f ca="1">RANDBETWEEN(30,76)&amp;"%"</f>
        <v>41%</v>
      </c>
      <c r="Q52" s="18">
        <f>PRODUCT(K52,N52)</f>
        <v>9933</v>
      </c>
    </row>
    <row r="53" spans="1:17" x14ac:dyDescent="0.45">
      <c r="A53" s="6" t="s">
        <v>931</v>
      </c>
      <c r="B53" s="9" t="s">
        <v>923</v>
      </c>
      <c r="C53" s="6" t="s">
        <v>219</v>
      </c>
      <c r="D53" s="18">
        <f ca="1">RANDBETWEEN(500,1000)</f>
        <v>532</v>
      </c>
      <c r="E53" s="19">
        <v>45348</v>
      </c>
      <c r="F53" s="18">
        <v>71</v>
      </c>
      <c r="G53" s="20">
        <v>0.52</v>
      </c>
      <c r="H53" s="18">
        <f t="shared" ca="1" si="0"/>
        <v>73</v>
      </c>
      <c r="I53" s="18">
        <f t="shared" ca="1" si="1"/>
        <v>175</v>
      </c>
      <c r="J53" s="15">
        <f ca="1">K53-L53</f>
        <v>268</v>
      </c>
      <c r="K53" s="15">
        <v>301</v>
      </c>
      <c r="L53" s="15">
        <f ca="1">RANDBETWEEN(30,87)</f>
        <v>33</v>
      </c>
      <c r="M53" s="11">
        <f ca="1">(L53/J53)</f>
        <v>0.12313432835820895</v>
      </c>
      <c r="N53" s="18">
        <v>58</v>
      </c>
      <c r="O53" s="18" t="str">
        <f t="shared" ca="1" si="2"/>
        <v>Understocked</v>
      </c>
      <c r="P53" s="11" t="str">
        <f ca="1">RANDBETWEEN(30,76)&amp;"%"</f>
        <v>52%</v>
      </c>
      <c r="Q53" s="18">
        <f>PRODUCT(K53,N53)</f>
        <v>17458</v>
      </c>
    </row>
    <row r="54" spans="1:17" x14ac:dyDescent="0.45">
      <c r="A54" s="6" t="s">
        <v>932</v>
      </c>
      <c r="B54" s="9" t="s">
        <v>923</v>
      </c>
      <c r="C54" s="6" t="s">
        <v>219</v>
      </c>
      <c r="D54" s="18">
        <f ca="1">RANDBETWEEN(500,1000)</f>
        <v>742</v>
      </c>
      <c r="E54" s="19">
        <v>45559</v>
      </c>
      <c r="F54" s="18">
        <v>30</v>
      </c>
      <c r="G54" s="20">
        <v>0.87</v>
      </c>
      <c r="H54" s="18">
        <f t="shared" ca="1" si="0"/>
        <v>51</v>
      </c>
      <c r="I54" s="18">
        <f t="shared" ca="1" si="1"/>
        <v>179</v>
      </c>
      <c r="J54" s="15">
        <f ca="1">K54-L54</f>
        <v>99.800000000000011</v>
      </c>
      <c r="K54" s="15">
        <v>154.80000000000001</v>
      </c>
      <c r="L54" s="15">
        <f ca="1">RANDBETWEEN(30,87)</f>
        <v>55</v>
      </c>
      <c r="M54" s="11">
        <f ca="1">(L54/J54)</f>
        <v>0.55110220440881752</v>
      </c>
      <c r="N54" s="18">
        <v>32</v>
      </c>
      <c r="O54" s="18" t="str">
        <f t="shared" ca="1" si="2"/>
        <v>Understocked</v>
      </c>
      <c r="P54" s="11" t="str">
        <f ca="1">RANDBETWEEN(30,76)&amp;"%"</f>
        <v>71%</v>
      </c>
      <c r="Q54" s="18">
        <f>PRODUCT(K54,N54)</f>
        <v>4953.6000000000004</v>
      </c>
    </row>
    <row r="55" spans="1:17" x14ac:dyDescent="0.45">
      <c r="A55" s="6" t="s">
        <v>933</v>
      </c>
      <c r="B55" s="9" t="s">
        <v>923</v>
      </c>
      <c r="C55" s="6" t="s">
        <v>219</v>
      </c>
      <c r="D55" s="18">
        <f ca="1">RANDBETWEEN(500,1000)</f>
        <v>620</v>
      </c>
      <c r="E55" s="19">
        <v>45572</v>
      </c>
      <c r="F55" s="18">
        <v>34</v>
      </c>
      <c r="G55" s="20">
        <v>0.33</v>
      </c>
      <c r="H55" s="18">
        <f t="shared" ca="1" si="0"/>
        <v>62</v>
      </c>
      <c r="I55" s="18">
        <f t="shared" ca="1" si="1"/>
        <v>148</v>
      </c>
      <c r="J55" s="15">
        <f ca="1">K55-L55</f>
        <v>524</v>
      </c>
      <c r="K55" s="15">
        <v>602</v>
      </c>
      <c r="L55" s="15">
        <f ca="1">RANDBETWEEN(30,87)</f>
        <v>78</v>
      </c>
      <c r="M55" s="11">
        <f ca="1">(L55/J55)</f>
        <v>0.14885496183206107</v>
      </c>
      <c r="N55" s="18">
        <v>28</v>
      </c>
      <c r="O55" s="18" t="str">
        <f t="shared" ca="1" si="2"/>
        <v>Understocked</v>
      </c>
      <c r="P55" s="11" t="str">
        <f ca="1">RANDBETWEEN(30,76)&amp;"%"</f>
        <v>57%</v>
      </c>
      <c r="Q55" s="18">
        <f>PRODUCT(K55,N55)</f>
        <v>16856</v>
      </c>
    </row>
    <row r="56" spans="1:17" x14ac:dyDescent="0.45">
      <c r="A56" s="6" t="s">
        <v>1021</v>
      </c>
      <c r="B56" s="9" t="s">
        <v>1022</v>
      </c>
      <c r="C56" s="6" t="s">
        <v>219</v>
      </c>
      <c r="D56" s="18">
        <f ca="1">RANDBETWEEN(500,1000)</f>
        <v>945</v>
      </c>
      <c r="E56" s="19">
        <v>45468</v>
      </c>
      <c r="F56" s="18">
        <v>89</v>
      </c>
      <c r="G56" s="20">
        <v>0.32</v>
      </c>
      <c r="H56" s="18">
        <f t="shared" ca="1" si="0"/>
        <v>60</v>
      </c>
      <c r="I56" s="18">
        <f t="shared" ca="1" si="1"/>
        <v>100</v>
      </c>
      <c r="J56" s="15">
        <f ca="1">K56-L56</f>
        <v>150</v>
      </c>
      <c r="K56" s="15">
        <v>215</v>
      </c>
      <c r="L56" s="15">
        <f ca="1">RANDBETWEEN(30,87)</f>
        <v>65</v>
      </c>
      <c r="M56" s="11">
        <f ca="1">(L56/J56)</f>
        <v>0.43333333333333335</v>
      </c>
      <c r="N56" s="18">
        <v>83</v>
      </c>
      <c r="O56" s="18" t="str">
        <f t="shared" ca="1" si="2"/>
        <v>Optimal</v>
      </c>
      <c r="P56" s="11" t="str">
        <f ca="1">RANDBETWEEN(30,76)&amp;"%"</f>
        <v>46%</v>
      </c>
      <c r="Q56" s="18">
        <f>PRODUCT(K56,N56)</f>
        <v>17845</v>
      </c>
    </row>
    <row r="57" spans="1:17" x14ac:dyDescent="0.45">
      <c r="A57" s="6" t="s">
        <v>1023</v>
      </c>
      <c r="B57" s="9" t="s">
        <v>1022</v>
      </c>
      <c r="C57" s="6" t="s">
        <v>219</v>
      </c>
      <c r="D57" s="18">
        <f ca="1">RANDBETWEEN(500,1000)</f>
        <v>878</v>
      </c>
      <c r="E57" s="19">
        <v>45371</v>
      </c>
      <c r="F57" s="18">
        <v>94</v>
      </c>
      <c r="G57" s="20">
        <v>0.42</v>
      </c>
      <c r="H57" s="18">
        <f t="shared" ca="1" si="0"/>
        <v>58</v>
      </c>
      <c r="I57" s="18">
        <f t="shared" ca="1" si="1"/>
        <v>107</v>
      </c>
      <c r="J57" s="15">
        <f ca="1">K57-L57</f>
        <v>355</v>
      </c>
      <c r="K57" s="15">
        <v>430</v>
      </c>
      <c r="L57" s="15">
        <f ca="1">RANDBETWEEN(30,87)</f>
        <v>75</v>
      </c>
      <c r="M57" s="11">
        <f ca="1">(L57/J57)</f>
        <v>0.21126760563380281</v>
      </c>
      <c r="N57" s="18">
        <v>74</v>
      </c>
      <c r="O57" s="18" t="str">
        <f t="shared" ca="1" si="2"/>
        <v>Optimal</v>
      </c>
      <c r="P57" s="11" t="str">
        <f ca="1">RANDBETWEEN(30,76)&amp;"%"</f>
        <v>36%</v>
      </c>
      <c r="Q57" s="18">
        <f>PRODUCT(K57,N57)</f>
        <v>31820</v>
      </c>
    </row>
    <row r="58" spans="1:17" x14ac:dyDescent="0.45">
      <c r="A58" s="6" t="s">
        <v>1024</v>
      </c>
      <c r="B58" s="9" t="s">
        <v>1022</v>
      </c>
      <c r="C58" s="6" t="s">
        <v>219</v>
      </c>
      <c r="D58" s="18">
        <f ca="1">RANDBETWEEN(500,1000)</f>
        <v>674</v>
      </c>
      <c r="E58" s="19">
        <v>45504</v>
      </c>
      <c r="F58" s="18">
        <v>80</v>
      </c>
      <c r="G58" s="20">
        <v>0.52</v>
      </c>
      <c r="H58" s="18">
        <f t="shared" ca="1" si="0"/>
        <v>50</v>
      </c>
      <c r="I58" s="18">
        <f t="shared" ca="1" si="1"/>
        <v>124</v>
      </c>
      <c r="J58" s="15">
        <f ca="1">K58-L58</f>
        <v>485</v>
      </c>
      <c r="K58" s="15">
        <v>516</v>
      </c>
      <c r="L58" s="15">
        <f ca="1">RANDBETWEEN(30,87)</f>
        <v>31</v>
      </c>
      <c r="M58" s="11">
        <f ca="1">(L58/J58)</f>
        <v>6.3917525773195871E-2</v>
      </c>
      <c r="N58" s="18">
        <v>63</v>
      </c>
      <c r="O58" s="18" t="str">
        <f t="shared" ca="1" si="2"/>
        <v>Optimal</v>
      </c>
      <c r="P58" s="11" t="str">
        <f ca="1">RANDBETWEEN(30,76)&amp;"%"</f>
        <v>40%</v>
      </c>
      <c r="Q58" s="18">
        <f>PRODUCT(K58,N58)</f>
        <v>32508</v>
      </c>
    </row>
    <row r="59" spans="1:17" x14ac:dyDescent="0.45">
      <c r="A59" s="6" t="s">
        <v>1050</v>
      </c>
      <c r="B59" s="9" t="s">
        <v>1051</v>
      </c>
      <c r="C59" s="6" t="s">
        <v>219</v>
      </c>
      <c r="D59" s="18">
        <f ca="1">RANDBETWEEN(500,1000)</f>
        <v>869</v>
      </c>
      <c r="E59" s="19">
        <v>45614</v>
      </c>
      <c r="F59" s="18">
        <v>30</v>
      </c>
      <c r="G59" s="20">
        <v>0.55000000000000004</v>
      </c>
      <c r="H59" s="18">
        <f t="shared" ca="1" si="0"/>
        <v>50</v>
      </c>
      <c r="I59" s="18">
        <f t="shared" ca="1" si="1"/>
        <v>163</v>
      </c>
      <c r="J59" s="15">
        <f ca="1">K59-L59</f>
        <v>109</v>
      </c>
      <c r="K59" s="15">
        <v>172</v>
      </c>
      <c r="L59" s="15">
        <f ca="1">RANDBETWEEN(30,87)</f>
        <v>63</v>
      </c>
      <c r="M59" s="11">
        <f ca="1">(L59/J59)</f>
        <v>0.57798165137614677</v>
      </c>
      <c r="N59" s="18">
        <v>97</v>
      </c>
      <c r="O59" s="18" t="str">
        <f t="shared" ca="1" si="2"/>
        <v>Understocked</v>
      </c>
      <c r="P59" s="11" t="str">
        <f ca="1">RANDBETWEEN(30,76)&amp;"%"</f>
        <v>41%</v>
      </c>
      <c r="Q59" s="18">
        <f>PRODUCT(K59,N59)</f>
        <v>16684</v>
      </c>
    </row>
    <row r="60" spans="1:17" x14ac:dyDescent="0.45">
      <c r="A60" s="6" t="s">
        <v>1052</v>
      </c>
      <c r="B60" s="9" t="s">
        <v>1051</v>
      </c>
      <c r="C60" s="6" t="s">
        <v>219</v>
      </c>
      <c r="D60" s="18">
        <f ca="1">RANDBETWEEN(500,1000)</f>
        <v>764</v>
      </c>
      <c r="E60" s="19">
        <v>45356</v>
      </c>
      <c r="F60" s="18">
        <v>78</v>
      </c>
      <c r="G60" s="20">
        <v>0.63</v>
      </c>
      <c r="H60" s="18">
        <f t="shared" ca="1" si="0"/>
        <v>52</v>
      </c>
      <c r="I60" s="18">
        <f t="shared" ca="1" si="1"/>
        <v>85</v>
      </c>
      <c r="J60" s="15">
        <f ca="1">K60-L60</f>
        <v>349</v>
      </c>
      <c r="K60" s="15">
        <v>430</v>
      </c>
      <c r="L60" s="15">
        <f ca="1">RANDBETWEEN(30,87)</f>
        <v>81</v>
      </c>
      <c r="M60" s="11">
        <f ca="1">(L60/J60)</f>
        <v>0.23209169054441262</v>
      </c>
      <c r="N60" s="18">
        <v>89</v>
      </c>
      <c r="O60" s="18" t="str">
        <f t="shared" ca="1" si="2"/>
        <v>Optimal</v>
      </c>
      <c r="P60" s="11" t="str">
        <f ca="1">RANDBETWEEN(30,76)&amp;"%"</f>
        <v>42%</v>
      </c>
      <c r="Q60" s="18">
        <f>PRODUCT(K60,N60)</f>
        <v>38270</v>
      </c>
    </row>
    <row r="61" spans="1:17" x14ac:dyDescent="0.45">
      <c r="A61" s="6" t="s">
        <v>1053</v>
      </c>
      <c r="B61" s="9" t="s">
        <v>1051</v>
      </c>
      <c r="C61" s="6" t="s">
        <v>219</v>
      </c>
      <c r="D61" s="18">
        <f ca="1">RANDBETWEEN(500,1000)</f>
        <v>776</v>
      </c>
      <c r="E61" s="19">
        <v>45457</v>
      </c>
      <c r="F61" s="18">
        <v>92</v>
      </c>
      <c r="G61" s="20">
        <v>0.63</v>
      </c>
      <c r="H61" s="18">
        <f t="shared" ca="1" si="0"/>
        <v>80</v>
      </c>
      <c r="I61" s="18">
        <f t="shared" ca="1" si="1"/>
        <v>73</v>
      </c>
      <c r="J61" s="15">
        <f ca="1">K61-L61</f>
        <v>216</v>
      </c>
      <c r="K61" s="15">
        <v>258</v>
      </c>
      <c r="L61" s="15">
        <f ca="1">RANDBETWEEN(30,87)</f>
        <v>42</v>
      </c>
      <c r="M61" s="11">
        <f ca="1">(L61/J61)</f>
        <v>0.19444444444444445</v>
      </c>
      <c r="N61" s="18">
        <v>61</v>
      </c>
      <c r="O61" s="18" t="str">
        <f t="shared" ca="1" si="2"/>
        <v>Optimal</v>
      </c>
      <c r="P61" s="11" t="str">
        <f ca="1">RANDBETWEEN(30,76)&amp;"%"</f>
        <v>72%</v>
      </c>
      <c r="Q61" s="18">
        <f>PRODUCT(K61,N61)</f>
        <v>15738</v>
      </c>
    </row>
    <row r="62" spans="1:17" x14ac:dyDescent="0.45">
      <c r="A62" s="6" t="s">
        <v>1054</v>
      </c>
      <c r="B62" s="9" t="s">
        <v>1051</v>
      </c>
      <c r="C62" s="6" t="s">
        <v>219</v>
      </c>
      <c r="D62" s="18">
        <f ca="1">RANDBETWEEN(500,1000)</f>
        <v>925</v>
      </c>
      <c r="E62" s="19">
        <v>45441</v>
      </c>
      <c r="F62" s="18">
        <v>62</v>
      </c>
      <c r="G62" s="20">
        <v>0.49</v>
      </c>
      <c r="H62" s="18">
        <f t="shared" ca="1" si="0"/>
        <v>72</v>
      </c>
      <c r="I62" s="18">
        <f t="shared" ca="1" si="1"/>
        <v>132</v>
      </c>
      <c r="J62" s="15">
        <f ca="1">K62-L62</f>
        <v>63</v>
      </c>
      <c r="K62" s="15">
        <v>129</v>
      </c>
      <c r="L62" s="15">
        <f ca="1">RANDBETWEEN(30,87)</f>
        <v>66</v>
      </c>
      <c r="M62" s="11">
        <f ca="1">(L62/J62)</f>
        <v>1.0476190476190477</v>
      </c>
      <c r="N62" s="18">
        <v>42</v>
      </c>
      <c r="O62" s="18" t="str">
        <f t="shared" ca="1" si="2"/>
        <v>Understocked</v>
      </c>
      <c r="P62" s="11" t="str">
        <f ca="1">RANDBETWEEN(30,76)&amp;"%"</f>
        <v>74%</v>
      </c>
      <c r="Q62" s="18">
        <f>PRODUCT(K62,N62)</f>
        <v>5418</v>
      </c>
    </row>
    <row r="63" spans="1:17" x14ac:dyDescent="0.45">
      <c r="A63" s="6" t="s">
        <v>1055</v>
      </c>
      <c r="B63" s="9" t="s">
        <v>1051</v>
      </c>
      <c r="C63" s="6" t="s">
        <v>219</v>
      </c>
      <c r="D63" s="18">
        <f ca="1">RANDBETWEEN(500,1000)</f>
        <v>995</v>
      </c>
      <c r="E63" s="19">
        <v>45351</v>
      </c>
      <c r="F63" s="18">
        <v>61</v>
      </c>
      <c r="G63" s="20">
        <v>0.68</v>
      </c>
      <c r="H63" s="18">
        <f t="shared" ca="1" si="0"/>
        <v>73</v>
      </c>
      <c r="I63" s="18">
        <f t="shared" ca="1" si="1"/>
        <v>151</v>
      </c>
      <c r="J63" s="15">
        <f ca="1">K63-L63</f>
        <v>161</v>
      </c>
      <c r="K63" s="15">
        <v>215</v>
      </c>
      <c r="L63" s="15">
        <f ca="1">RANDBETWEEN(30,87)</f>
        <v>54</v>
      </c>
      <c r="M63" s="11">
        <f ca="1">(L63/J63)</f>
        <v>0.33540372670807456</v>
      </c>
      <c r="N63" s="18">
        <v>51</v>
      </c>
      <c r="O63" s="18" t="str">
        <f t="shared" ca="1" si="2"/>
        <v>Understocked</v>
      </c>
      <c r="P63" s="11" t="str">
        <f ca="1">RANDBETWEEN(30,76)&amp;"%"</f>
        <v>45%</v>
      </c>
      <c r="Q63" s="18">
        <f>PRODUCT(K63,N63)</f>
        <v>10965</v>
      </c>
    </row>
    <row r="64" spans="1:17" x14ac:dyDescent="0.45">
      <c r="A64" s="6" t="s">
        <v>1056</v>
      </c>
      <c r="B64" s="9" t="s">
        <v>1051</v>
      </c>
      <c r="C64" s="6" t="s">
        <v>219</v>
      </c>
      <c r="D64" s="18">
        <f ca="1">RANDBETWEEN(500,1000)</f>
        <v>581</v>
      </c>
      <c r="E64" s="19">
        <v>45685</v>
      </c>
      <c r="F64" s="18">
        <v>42</v>
      </c>
      <c r="G64" s="20">
        <v>0.64</v>
      </c>
      <c r="H64" s="18">
        <f t="shared" ca="1" si="0"/>
        <v>79</v>
      </c>
      <c r="I64" s="18">
        <f t="shared" ca="1" si="1"/>
        <v>70</v>
      </c>
      <c r="J64" s="15">
        <f ca="1">K64-L64</f>
        <v>160</v>
      </c>
      <c r="K64" s="15">
        <v>215</v>
      </c>
      <c r="L64" s="15">
        <f ca="1">RANDBETWEEN(30,87)</f>
        <v>55</v>
      </c>
      <c r="M64" s="11">
        <f ca="1">(L64/J64)</f>
        <v>0.34375</v>
      </c>
      <c r="N64" s="18">
        <v>67</v>
      </c>
      <c r="O64" s="18" t="str">
        <f t="shared" ca="1" si="2"/>
        <v>Understocked</v>
      </c>
      <c r="P64" s="11" t="str">
        <f ca="1">RANDBETWEEN(30,76)&amp;"%"</f>
        <v>44%</v>
      </c>
      <c r="Q64" s="18">
        <f>PRODUCT(K64,N64)</f>
        <v>14405</v>
      </c>
    </row>
    <row r="65" spans="1:17" x14ac:dyDescent="0.45">
      <c r="A65" s="6" t="s">
        <v>1057</v>
      </c>
      <c r="B65" s="9" t="s">
        <v>1051</v>
      </c>
      <c r="C65" s="6" t="s">
        <v>219</v>
      </c>
      <c r="D65" s="18">
        <f ca="1">RANDBETWEEN(500,1000)</f>
        <v>691</v>
      </c>
      <c r="E65" s="19">
        <v>45501</v>
      </c>
      <c r="F65" s="18">
        <v>93</v>
      </c>
      <c r="G65" s="20">
        <v>0.7</v>
      </c>
      <c r="H65" s="18">
        <f t="shared" ca="1" si="0"/>
        <v>65</v>
      </c>
      <c r="I65" s="18">
        <f t="shared" ca="1" si="1"/>
        <v>190</v>
      </c>
      <c r="J65" s="15">
        <f ca="1">K65-L65</f>
        <v>946</v>
      </c>
      <c r="K65" s="15">
        <v>989</v>
      </c>
      <c r="L65" s="15">
        <f ca="1">RANDBETWEEN(30,87)</f>
        <v>43</v>
      </c>
      <c r="M65" s="11">
        <f ca="1">(L65/J65)</f>
        <v>4.5454545454545456E-2</v>
      </c>
      <c r="N65" s="18">
        <v>76</v>
      </c>
      <c r="O65" s="18" t="str">
        <f t="shared" ca="1" si="2"/>
        <v>Optimal</v>
      </c>
      <c r="P65" s="11" t="str">
        <f ca="1">RANDBETWEEN(30,76)&amp;"%"</f>
        <v>30%</v>
      </c>
      <c r="Q65" s="18">
        <f>PRODUCT(K65,N65)</f>
        <v>75164</v>
      </c>
    </row>
    <row r="66" spans="1:17" x14ac:dyDescent="0.45">
      <c r="A66" s="6" t="s">
        <v>1058</v>
      </c>
      <c r="B66" s="9" t="s">
        <v>1051</v>
      </c>
      <c r="C66" s="6" t="s">
        <v>219</v>
      </c>
      <c r="D66" s="18">
        <f ca="1">RANDBETWEEN(500,1000)</f>
        <v>778</v>
      </c>
      <c r="E66" s="19">
        <v>45429</v>
      </c>
      <c r="F66" s="18">
        <v>72</v>
      </c>
      <c r="G66" s="20">
        <v>0.67</v>
      </c>
      <c r="H66" s="18">
        <f t="shared" ca="1" si="0"/>
        <v>76</v>
      </c>
      <c r="I66" s="18">
        <f t="shared" ca="1" si="1"/>
        <v>150</v>
      </c>
      <c r="J66" s="15">
        <f ca="1">K66-L66</f>
        <v>525</v>
      </c>
      <c r="K66" s="15">
        <v>559</v>
      </c>
      <c r="L66" s="15">
        <f ca="1">RANDBETWEEN(30,87)</f>
        <v>34</v>
      </c>
      <c r="M66" s="11">
        <f ca="1">(L66/J66)</f>
        <v>6.4761904761904757E-2</v>
      </c>
      <c r="N66" s="18">
        <v>87</v>
      </c>
      <c r="O66" s="18" t="str">
        <f t="shared" ca="1" si="2"/>
        <v>Understocked</v>
      </c>
      <c r="P66" s="11" t="str">
        <f ca="1">RANDBETWEEN(30,76)&amp;"%"</f>
        <v>53%</v>
      </c>
      <c r="Q66" s="18">
        <f>PRODUCT(K66,N66)</f>
        <v>48633</v>
      </c>
    </row>
    <row r="67" spans="1:17" x14ac:dyDescent="0.45">
      <c r="A67" s="6" t="s">
        <v>1059</v>
      </c>
      <c r="B67" s="9" t="s">
        <v>1051</v>
      </c>
      <c r="C67" s="6" t="s">
        <v>219</v>
      </c>
      <c r="D67" s="18">
        <f ca="1">RANDBETWEEN(500,1000)</f>
        <v>650</v>
      </c>
      <c r="E67" s="19">
        <v>45538</v>
      </c>
      <c r="F67" s="18">
        <v>56</v>
      </c>
      <c r="G67" s="20">
        <v>0.55000000000000004</v>
      </c>
      <c r="H67" s="18">
        <f t="shared" ref="H67:H106" ca="1" si="3">RANDBETWEEN(50,80)</f>
        <v>63</v>
      </c>
      <c r="I67" s="18">
        <f t="shared" ref="I67:I106" ca="1" si="4">RANDBETWEEN(70,200)</f>
        <v>105</v>
      </c>
      <c r="J67" s="15">
        <f ca="1">K67-L67</f>
        <v>246</v>
      </c>
      <c r="K67" s="15">
        <v>301</v>
      </c>
      <c r="L67" s="15">
        <f ca="1">RANDBETWEEN(30,87)</f>
        <v>55</v>
      </c>
      <c r="M67" s="11">
        <f ca="1">(L67/J67)</f>
        <v>0.22357723577235772</v>
      </c>
      <c r="N67" s="18">
        <v>56</v>
      </c>
      <c r="O67" s="18" t="str">
        <f t="shared" ref="O67:O106" ca="1" si="5">IF(F67&lt;H67,"Understocked","Optimal")</f>
        <v>Understocked</v>
      </c>
      <c r="P67" s="11" t="str">
        <f ca="1">RANDBETWEEN(30,76)&amp;"%"</f>
        <v>65%</v>
      </c>
      <c r="Q67" s="18">
        <f>PRODUCT(K67,N67)</f>
        <v>16856</v>
      </c>
    </row>
    <row r="68" spans="1:17" x14ac:dyDescent="0.45">
      <c r="A68" s="6" t="s">
        <v>1088</v>
      </c>
      <c r="B68" s="9" t="s">
        <v>1089</v>
      </c>
      <c r="C68" s="6" t="s">
        <v>219</v>
      </c>
      <c r="D68" s="18">
        <f ca="1">RANDBETWEEN(500,1000)</f>
        <v>636</v>
      </c>
      <c r="E68" s="19">
        <v>45528</v>
      </c>
      <c r="F68" s="18">
        <v>17</v>
      </c>
      <c r="G68" s="20">
        <v>0.66</v>
      </c>
      <c r="H68" s="18">
        <f t="shared" ca="1" si="3"/>
        <v>53</v>
      </c>
      <c r="I68" s="18">
        <f t="shared" ca="1" si="4"/>
        <v>148</v>
      </c>
      <c r="J68" s="15">
        <f ca="1">K68-L68</f>
        <v>468</v>
      </c>
      <c r="K68" s="15">
        <v>516</v>
      </c>
      <c r="L68" s="15">
        <f ca="1">RANDBETWEEN(30,87)</f>
        <v>48</v>
      </c>
      <c r="M68" s="11">
        <f ca="1">(L68/J68)</f>
        <v>0.10256410256410256</v>
      </c>
      <c r="N68" s="18">
        <v>93</v>
      </c>
      <c r="O68" s="18" t="str">
        <f t="shared" ca="1" si="5"/>
        <v>Understocked</v>
      </c>
      <c r="P68" s="11" t="str">
        <f ca="1">RANDBETWEEN(30,76)&amp;"%"</f>
        <v>46%</v>
      </c>
      <c r="Q68" s="18">
        <f>PRODUCT(K68,N68)</f>
        <v>47988</v>
      </c>
    </row>
    <row r="69" spans="1:17" x14ac:dyDescent="0.45">
      <c r="A69" s="6" t="s">
        <v>1090</v>
      </c>
      <c r="B69" s="9" t="s">
        <v>1089</v>
      </c>
      <c r="C69" s="6" t="s">
        <v>219</v>
      </c>
      <c r="D69" s="18">
        <f ca="1">RANDBETWEEN(500,1000)</f>
        <v>700</v>
      </c>
      <c r="E69" s="19">
        <v>45444</v>
      </c>
      <c r="F69" s="18">
        <v>36</v>
      </c>
      <c r="G69" s="20">
        <v>0.61</v>
      </c>
      <c r="H69" s="18">
        <f t="shared" ca="1" si="3"/>
        <v>50</v>
      </c>
      <c r="I69" s="18">
        <f t="shared" ca="1" si="4"/>
        <v>109</v>
      </c>
      <c r="J69" s="15">
        <f ca="1">K69-L69</f>
        <v>712</v>
      </c>
      <c r="K69" s="15">
        <v>774</v>
      </c>
      <c r="L69" s="15">
        <f ca="1">RANDBETWEEN(30,87)</f>
        <v>62</v>
      </c>
      <c r="M69" s="11">
        <f ca="1">(L69/J69)</f>
        <v>8.7078651685393263E-2</v>
      </c>
      <c r="N69" s="18">
        <v>67</v>
      </c>
      <c r="O69" s="18" t="str">
        <f t="shared" ca="1" si="5"/>
        <v>Understocked</v>
      </c>
      <c r="P69" s="11" t="str">
        <f ca="1">RANDBETWEEN(30,76)&amp;"%"</f>
        <v>35%</v>
      </c>
      <c r="Q69" s="18">
        <f>PRODUCT(K69,N69)</f>
        <v>51858</v>
      </c>
    </row>
    <row r="70" spans="1:17" x14ac:dyDescent="0.45">
      <c r="A70" s="6" t="s">
        <v>1092</v>
      </c>
      <c r="B70" s="9" t="s">
        <v>1089</v>
      </c>
      <c r="C70" s="6" t="s">
        <v>219</v>
      </c>
      <c r="D70" s="18">
        <f ca="1">RANDBETWEEN(500,1000)</f>
        <v>555</v>
      </c>
      <c r="E70" s="19">
        <v>45505</v>
      </c>
      <c r="F70" s="18">
        <v>91</v>
      </c>
      <c r="G70" s="20">
        <v>0.69</v>
      </c>
      <c r="H70" s="18">
        <f t="shared" ca="1" si="3"/>
        <v>56</v>
      </c>
      <c r="I70" s="18">
        <f t="shared" ca="1" si="4"/>
        <v>189</v>
      </c>
      <c r="J70" s="15">
        <f ca="1">K70-L70</f>
        <v>183</v>
      </c>
      <c r="K70" s="15">
        <v>215</v>
      </c>
      <c r="L70" s="15">
        <f ca="1">RANDBETWEEN(30,87)</f>
        <v>32</v>
      </c>
      <c r="M70" s="11">
        <f ca="1">(L70/J70)</f>
        <v>0.17486338797814208</v>
      </c>
      <c r="N70" s="18">
        <v>74</v>
      </c>
      <c r="O70" s="18" t="str">
        <f t="shared" ca="1" si="5"/>
        <v>Optimal</v>
      </c>
      <c r="P70" s="11" t="str">
        <f ca="1">RANDBETWEEN(30,76)&amp;"%"</f>
        <v>74%</v>
      </c>
      <c r="Q70" s="18">
        <f>PRODUCT(K70,N70)</f>
        <v>15910</v>
      </c>
    </row>
    <row r="71" spans="1:17" x14ac:dyDescent="0.45">
      <c r="A71" t="s">
        <v>663</v>
      </c>
      <c r="B71" t="s">
        <v>660</v>
      </c>
      <c r="C71" t="s">
        <v>219</v>
      </c>
      <c r="D71" s="18">
        <f ca="1">RANDBETWEEN(500,1000)</f>
        <v>893</v>
      </c>
      <c r="E71" s="1">
        <v>45669</v>
      </c>
      <c r="F71">
        <v>47</v>
      </c>
      <c r="G71" s="2">
        <v>0.35</v>
      </c>
      <c r="H71" s="18">
        <f t="shared" ca="1" si="3"/>
        <v>53</v>
      </c>
      <c r="I71" s="18">
        <f t="shared" ca="1" si="4"/>
        <v>120</v>
      </c>
      <c r="J71" s="4">
        <f ca="1">K71-L71</f>
        <v>5684.3</v>
      </c>
      <c r="K71" s="4">
        <v>5723.3</v>
      </c>
      <c r="L71" s="4">
        <f ca="1">RANDBETWEEN(30,87)</f>
        <v>39</v>
      </c>
      <c r="M71" s="3">
        <f ca="1">(L71/J71)</f>
        <v>6.8610031138398742E-3</v>
      </c>
      <c r="N71">
        <v>30</v>
      </c>
      <c r="O71" s="18" t="str">
        <f t="shared" ca="1" si="5"/>
        <v>Understocked</v>
      </c>
      <c r="P71">
        <v>20</v>
      </c>
    </row>
    <row r="72" spans="1:17" x14ac:dyDescent="0.45">
      <c r="A72" t="s">
        <v>677</v>
      </c>
      <c r="B72" t="s">
        <v>678</v>
      </c>
      <c r="C72" t="s">
        <v>219</v>
      </c>
      <c r="D72" s="18">
        <f ca="1">RANDBETWEEN(500,1000)</f>
        <v>651</v>
      </c>
      <c r="E72" s="1">
        <v>45658</v>
      </c>
      <c r="F72">
        <v>41</v>
      </c>
      <c r="G72" s="2">
        <v>0.57999999999999996</v>
      </c>
      <c r="H72" s="18">
        <f t="shared" ca="1" si="3"/>
        <v>65</v>
      </c>
      <c r="I72" s="18">
        <f t="shared" ca="1" si="4"/>
        <v>143</v>
      </c>
      <c r="J72" s="4">
        <f ca="1">K72-L72</f>
        <v>1665</v>
      </c>
      <c r="K72" s="4">
        <v>1720</v>
      </c>
      <c r="L72" s="4">
        <f ca="1">RANDBETWEEN(30,87)</f>
        <v>55</v>
      </c>
      <c r="M72" s="3">
        <f ca="1">(L72/J72)</f>
        <v>3.3033033033033031E-2</v>
      </c>
      <c r="N72">
        <v>50</v>
      </c>
      <c r="O72" s="18" t="str">
        <f t="shared" ca="1" si="5"/>
        <v>Understocked</v>
      </c>
      <c r="P72">
        <v>96</v>
      </c>
    </row>
    <row r="73" spans="1:17" x14ac:dyDescent="0.45">
      <c r="A73" t="s">
        <v>681</v>
      </c>
      <c r="B73" t="s">
        <v>678</v>
      </c>
      <c r="C73" t="s">
        <v>219</v>
      </c>
      <c r="D73" s="18">
        <f ca="1">RANDBETWEEN(500,1000)</f>
        <v>907</v>
      </c>
      <c r="E73" s="1">
        <v>45468</v>
      </c>
      <c r="F73">
        <v>28</v>
      </c>
      <c r="G73" s="2">
        <v>0.67</v>
      </c>
      <c r="H73" s="18">
        <f t="shared" ca="1" si="3"/>
        <v>71</v>
      </c>
      <c r="I73" s="18">
        <f t="shared" ca="1" si="4"/>
        <v>165</v>
      </c>
      <c r="J73" s="4">
        <f ca="1">K73-L73</f>
        <v>2106</v>
      </c>
      <c r="K73" s="4">
        <v>2193</v>
      </c>
      <c r="L73" s="4">
        <f ca="1">RANDBETWEEN(30,87)</f>
        <v>87</v>
      </c>
      <c r="M73" s="3">
        <f ca="1">(L73/J73)</f>
        <v>4.1310541310541307E-2</v>
      </c>
      <c r="N73">
        <v>28</v>
      </c>
      <c r="O73" s="18" t="str">
        <f t="shared" ca="1" si="5"/>
        <v>Understocked</v>
      </c>
      <c r="P73">
        <v>92</v>
      </c>
    </row>
    <row r="74" spans="1:17" x14ac:dyDescent="0.45">
      <c r="A74" t="s">
        <v>1091</v>
      </c>
      <c r="B74" t="s">
        <v>1089</v>
      </c>
      <c r="C74" t="s">
        <v>219</v>
      </c>
      <c r="D74" s="18">
        <f ca="1">RANDBETWEEN(500,1000)</f>
        <v>516</v>
      </c>
      <c r="E74" s="1">
        <v>45507</v>
      </c>
      <c r="F74">
        <v>58</v>
      </c>
      <c r="G74" s="2">
        <v>0.86</v>
      </c>
      <c r="H74" s="18">
        <f t="shared" ca="1" si="3"/>
        <v>69</v>
      </c>
      <c r="I74" s="18">
        <f t="shared" ca="1" si="4"/>
        <v>194</v>
      </c>
      <c r="J74" s="4">
        <f ca="1">K74-L74</f>
        <v>15</v>
      </c>
      <c r="K74" s="4">
        <v>86</v>
      </c>
      <c r="L74" s="4">
        <f ca="1">RANDBETWEEN(30,87)</f>
        <v>71</v>
      </c>
      <c r="M74" s="3">
        <f ca="1">(L74/J74)</f>
        <v>4.7333333333333334</v>
      </c>
      <c r="N74">
        <v>98</v>
      </c>
      <c r="O74" s="18" t="str">
        <f t="shared" ca="1" si="5"/>
        <v>Understocked</v>
      </c>
      <c r="P74"/>
    </row>
    <row r="75" spans="1:17" x14ac:dyDescent="0.45">
      <c r="A75" s="6" t="s">
        <v>60</v>
      </c>
      <c r="B75" s="9" t="s">
        <v>61</v>
      </c>
      <c r="C75" s="6" t="s">
        <v>62</v>
      </c>
      <c r="D75" s="18">
        <f ca="1">RANDBETWEEN(500,1000)</f>
        <v>971</v>
      </c>
      <c r="E75" s="19">
        <v>45441</v>
      </c>
      <c r="F75" s="18">
        <v>45</v>
      </c>
      <c r="G75" s="20">
        <v>0.56000000000000005</v>
      </c>
      <c r="H75" s="18">
        <f t="shared" ca="1" si="3"/>
        <v>71</v>
      </c>
      <c r="I75" s="18">
        <f t="shared" ca="1" si="4"/>
        <v>163</v>
      </c>
      <c r="J75" s="15">
        <f ca="1">K75-L75</f>
        <v>281</v>
      </c>
      <c r="K75" s="15">
        <v>344</v>
      </c>
      <c r="L75" s="15">
        <f ca="1">RANDBETWEEN(30,87)</f>
        <v>63</v>
      </c>
      <c r="M75" s="11">
        <f ca="1">(L75/J75)</f>
        <v>0.22419928825622776</v>
      </c>
      <c r="N75" s="18">
        <v>85</v>
      </c>
      <c r="O75" s="18" t="str">
        <f t="shared" ca="1" si="5"/>
        <v>Understocked</v>
      </c>
      <c r="P75" s="11" t="str">
        <f ca="1">RANDBETWEEN(30,76)&amp;"%"</f>
        <v>56%</v>
      </c>
      <c r="Q75" s="18">
        <f>PRODUCT(K75,N75)</f>
        <v>29240</v>
      </c>
    </row>
    <row r="76" spans="1:17" x14ac:dyDescent="0.45">
      <c r="A76" s="6" t="s">
        <v>63</v>
      </c>
      <c r="B76" s="9" t="s">
        <v>61</v>
      </c>
      <c r="C76" s="6" t="s">
        <v>62</v>
      </c>
      <c r="D76" s="18">
        <f ca="1">RANDBETWEEN(500,1000)</f>
        <v>818</v>
      </c>
      <c r="E76" s="19">
        <v>45664</v>
      </c>
      <c r="F76" s="18">
        <v>65</v>
      </c>
      <c r="G76" s="20">
        <v>0.61</v>
      </c>
      <c r="H76" s="18">
        <f t="shared" ca="1" si="3"/>
        <v>76</v>
      </c>
      <c r="I76" s="18">
        <f t="shared" ca="1" si="4"/>
        <v>174</v>
      </c>
      <c r="J76" s="15">
        <f ca="1">K76-L76</f>
        <v>251</v>
      </c>
      <c r="K76" s="15">
        <v>301</v>
      </c>
      <c r="L76" s="15">
        <f ca="1">RANDBETWEEN(30,87)</f>
        <v>50</v>
      </c>
      <c r="M76" s="11">
        <f ca="1">(L76/J76)</f>
        <v>0.19920318725099601</v>
      </c>
      <c r="N76" s="18">
        <v>28</v>
      </c>
      <c r="O76" s="18" t="str">
        <f t="shared" ca="1" si="5"/>
        <v>Understocked</v>
      </c>
      <c r="P76" s="11" t="str">
        <f ca="1">RANDBETWEEN(30,76)&amp;"%"</f>
        <v>60%</v>
      </c>
      <c r="Q76" s="18">
        <f>PRODUCT(K76,N76)</f>
        <v>8428</v>
      </c>
    </row>
    <row r="77" spans="1:17" x14ac:dyDescent="0.45">
      <c r="A77" s="6" t="s">
        <v>64</v>
      </c>
      <c r="B77" s="9" t="s">
        <v>61</v>
      </c>
      <c r="C77" s="6" t="s">
        <v>62</v>
      </c>
      <c r="D77" s="18">
        <f ca="1">RANDBETWEEN(500,1000)</f>
        <v>777</v>
      </c>
      <c r="E77" s="19">
        <v>45688</v>
      </c>
      <c r="F77" s="18">
        <v>98</v>
      </c>
      <c r="G77" s="20">
        <v>0.66</v>
      </c>
      <c r="H77" s="18">
        <f t="shared" ca="1" si="3"/>
        <v>70</v>
      </c>
      <c r="I77" s="18">
        <f t="shared" ca="1" si="4"/>
        <v>157</v>
      </c>
      <c r="J77" s="15">
        <f ca="1">K77-L77</f>
        <v>810</v>
      </c>
      <c r="K77" s="15">
        <v>860</v>
      </c>
      <c r="L77" s="15">
        <f ca="1">RANDBETWEEN(30,87)</f>
        <v>50</v>
      </c>
      <c r="M77" s="11">
        <f ca="1">(L77/J77)</f>
        <v>6.1728395061728392E-2</v>
      </c>
      <c r="N77" s="18">
        <v>39</v>
      </c>
      <c r="O77" s="18" t="str">
        <f t="shared" ca="1" si="5"/>
        <v>Optimal</v>
      </c>
      <c r="P77" s="11" t="str">
        <f ca="1">RANDBETWEEN(30,76)&amp;"%"</f>
        <v>67%</v>
      </c>
      <c r="Q77" s="18">
        <f>PRODUCT(K77,N77)</f>
        <v>33540</v>
      </c>
    </row>
    <row r="78" spans="1:17" x14ac:dyDescent="0.45">
      <c r="A78" s="6" t="s">
        <v>65</v>
      </c>
      <c r="B78" s="9" t="s">
        <v>61</v>
      </c>
      <c r="C78" s="6" t="s">
        <v>62</v>
      </c>
      <c r="D78" s="18">
        <f ca="1">RANDBETWEEN(500,1000)</f>
        <v>598</v>
      </c>
      <c r="E78" s="19">
        <v>45449</v>
      </c>
      <c r="F78" s="18">
        <v>62</v>
      </c>
      <c r="G78" s="20">
        <v>0.56999999999999995</v>
      </c>
      <c r="H78" s="18">
        <f t="shared" ca="1" si="3"/>
        <v>60</v>
      </c>
      <c r="I78" s="18">
        <f t="shared" ca="1" si="4"/>
        <v>94</v>
      </c>
      <c r="J78" s="15">
        <f ca="1">K78-L78</f>
        <v>349</v>
      </c>
      <c r="K78" s="15">
        <v>430</v>
      </c>
      <c r="L78" s="15">
        <f ca="1">RANDBETWEEN(30,87)</f>
        <v>81</v>
      </c>
      <c r="M78" s="11">
        <f ca="1">(L78/J78)</f>
        <v>0.23209169054441262</v>
      </c>
      <c r="N78" s="18">
        <v>23</v>
      </c>
      <c r="O78" s="18" t="str">
        <f t="shared" ca="1" si="5"/>
        <v>Optimal</v>
      </c>
      <c r="P78" s="11" t="str">
        <f ca="1">RANDBETWEEN(30,76)&amp;"%"</f>
        <v>35%</v>
      </c>
      <c r="Q78" s="18">
        <f>PRODUCT(K78,N78)</f>
        <v>9890</v>
      </c>
    </row>
    <row r="79" spans="1:17" x14ac:dyDescent="0.45">
      <c r="A79" s="6" t="s">
        <v>66</v>
      </c>
      <c r="B79" s="9" t="s">
        <v>61</v>
      </c>
      <c r="C79" s="6" t="s">
        <v>62</v>
      </c>
      <c r="D79" s="18">
        <f ca="1">RANDBETWEEN(500,1000)</f>
        <v>592</v>
      </c>
      <c r="E79" s="19">
        <v>45372</v>
      </c>
      <c r="F79" s="18">
        <v>46</v>
      </c>
      <c r="G79" s="20">
        <v>0.35</v>
      </c>
      <c r="H79" s="18">
        <f t="shared" ca="1" si="3"/>
        <v>68</v>
      </c>
      <c r="I79" s="18">
        <f t="shared" ca="1" si="4"/>
        <v>133</v>
      </c>
      <c r="J79" s="15">
        <f ca="1">K79-L79</f>
        <v>122.80000000000001</v>
      </c>
      <c r="K79" s="15">
        <v>154.80000000000001</v>
      </c>
      <c r="L79" s="15">
        <f ca="1">RANDBETWEEN(30,87)</f>
        <v>32</v>
      </c>
      <c r="M79" s="11">
        <f ca="1">(L79/J79)</f>
        <v>0.26058631921824099</v>
      </c>
      <c r="N79" s="18">
        <v>59</v>
      </c>
      <c r="O79" s="18" t="str">
        <f t="shared" ca="1" si="5"/>
        <v>Understocked</v>
      </c>
      <c r="P79" s="11" t="str">
        <f ca="1">RANDBETWEEN(30,76)&amp;"%"</f>
        <v>32%</v>
      </c>
      <c r="Q79" s="18">
        <f>PRODUCT(K79,N79)</f>
        <v>9133.2000000000007</v>
      </c>
    </row>
    <row r="80" spans="1:17" x14ac:dyDescent="0.45">
      <c r="A80" s="6" t="s">
        <v>67</v>
      </c>
      <c r="B80" s="9" t="s">
        <v>61</v>
      </c>
      <c r="C80" s="6" t="s">
        <v>62</v>
      </c>
      <c r="D80" s="18">
        <f ca="1">RANDBETWEEN(500,1000)</f>
        <v>985</v>
      </c>
      <c r="E80" s="19">
        <v>45642</v>
      </c>
      <c r="F80" s="18">
        <v>13</v>
      </c>
      <c r="G80" s="20">
        <v>0.45</v>
      </c>
      <c r="H80" s="18">
        <f t="shared" ca="1" si="3"/>
        <v>79</v>
      </c>
      <c r="I80" s="18">
        <f t="shared" ca="1" si="4"/>
        <v>99</v>
      </c>
      <c r="J80" s="15">
        <f ca="1">K80-L80</f>
        <v>817</v>
      </c>
      <c r="K80" s="15">
        <v>860</v>
      </c>
      <c r="L80" s="15">
        <f ca="1">RANDBETWEEN(30,87)</f>
        <v>43</v>
      </c>
      <c r="M80" s="11">
        <f ca="1">(L80/J80)</f>
        <v>5.2631578947368418E-2</v>
      </c>
      <c r="N80" s="18">
        <v>67</v>
      </c>
      <c r="O80" s="18" t="str">
        <f t="shared" ca="1" si="5"/>
        <v>Understocked</v>
      </c>
      <c r="P80" s="11" t="str">
        <f ca="1">RANDBETWEEN(30,76)&amp;"%"</f>
        <v>72%</v>
      </c>
      <c r="Q80" s="18">
        <f>PRODUCT(K80,N80)</f>
        <v>57620</v>
      </c>
    </row>
    <row r="81" spans="1:17" x14ac:dyDescent="0.45">
      <c r="A81" s="6" t="s">
        <v>68</v>
      </c>
      <c r="B81" s="9" t="s">
        <v>61</v>
      </c>
      <c r="C81" s="6" t="s">
        <v>62</v>
      </c>
      <c r="D81" s="18">
        <f ca="1">RANDBETWEEN(500,1000)</f>
        <v>570</v>
      </c>
      <c r="E81" s="19">
        <v>45530</v>
      </c>
      <c r="F81" s="18">
        <v>78</v>
      </c>
      <c r="G81" s="20">
        <v>0.46</v>
      </c>
      <c r="H81" s="18">
        <f t="shared" ca="1" si="3"/>
        <v>57</v>
      </c>
      <c r="I81" s="18">
        <f t="shared" ca="1" si="4"/>
        <v>148</v>
      </c>
      <c r="J81" s="15">
        <f ca="1">K81-L81</f>
        <v>528</v>
      </c>
      <c r="K81" s="15">
        <v>559</v>
      </c>
      <c r="L81" s="15">
        <f ca="1">RANDBETWEEN(30,87)</f>
        <v>31</v>
      </c>
      <c r="M81" s="11">
        <f ca="1">(L81/J81)</f>
        <v>5.8712121212121215E-2</v>
      </c>
      <c r="N81" s="18">
        <v>62</v>
      </c>
      <c r="O81" s="18" t="str">
        <f t="shared" ca="1" si="5"/>
        <v>Optimal</v>
      </c>
      <c r="P81" s="11" t="str">
        <f ca="1">RANDBETWEEN(30,76)&amp;"%"</f>
        <v>34%</v>
      </c>
      <c r="Q81" s="18">
        <f>PRODUCT(K81,N81)</f>
        <v>34658</v>
      </c>
    </row>
    <row r="82" spans="1:17" x14ac:dyDescent="0.45">
      <c r="A82" s="6" t="s">
        <v>69</v>
      </c>
      <c r="B82" s="9" t="s">
        <v>61</v>
      </c>
      <c r="C82" s="6" t="s">
        <v>62</v>
      </c>
      <c r="D82" s="18">
        <f ca="1">RANDBETWEEN(500,1000)</f>
        <v>518</v>
      </c>
      <c r="E82" s="19">
        <v>45349</v>
      </c>
      <c r="F82" s="18">
        <v>74</v>
      </c>
      <c r="G82" s="20">
        <v>0.36</v>
      </c>
      <c r="H82" s="18">
        <f t="shared" ca="1" si="3"/>
        <v>67</v>
      </c>
      <c r="I82" s="18">
        <f t="shared" ca="1" si="4"/>
        <v>136</v>
      </c>
      <c r="J82" s="15">
        <f ca="1">K82-L82</f>
        <v>135</v>
      </c>
      <c r="K82" s="15">
        <v>172</v>
      </c>
      <c r="L82" s="15">
        <f ca="1">RANDBETWEEN(30,87)</f>
        <v>37</v>
      </c>
      <c r="M82" s="11">
        <f ca="1">(L82/J82)</f>
        <v>0.27407407407407408</v>
      </c>
      <c r="N82" s="18">
        <v>83</v>
      </c>
      <c r="O82" s="18" t="str">
        <f t="shared" ca="1" si="5"/>
        <v>Optimal</v>
      </c>
      <c r="P82" s="11" t="str">
        <f ca="1">RANDBETWEEN(30,76)&amp;"%"</f>
        <v>37%</v>
      </c>
      <c r="Q82" s="18">
        <f>PRODUCT(K82,N82)</f>
        <v>14276</v>
      </c>
    </row>
    <row r="83" spans="1:17" x14ac:dyDescent="0.45">
      <c r="A83" s="6" t="s">
        <v>70</v>
      </c>
      <c r="B83" s="9" t="s">
        <v>61</v>
      </c>
      <c r="C83" s="6" t="s">
        <v>62</v>
      </c>
      <c r="D83" s="18">
        <f ca="1">RANDBETWEEN(500,1000)</f>
        <v>940</v>
      </c>
      <c r="E83" s="19">
        <v>45537</v>
      </c>
      <c r="F83" s="18">
        <v>21</v>
      </c>
      <c r="G83" s="20">
        <v>0.49</v>
      </c>
      <c r="H83" s="18">
        <f t="shared" ca="1" si="3"/>
        <v>72</v>
      </c>
      <c r="I83" s="18">
        <f t="shared" ca="1" si="4"/>
        <v>148</v>
      </c>
      <c r="J83" s="15">
        <f ca="1">K83-L83</f>
        <v>524</v>
      </c>
      <c r="K83" s="15">
        <v>602</v>
      </c>
      <c r="L83" s="15">
        <f ca="1">RANDBETWEEN(30,87)</f>
        <v>78</v>
      </c>
      <c r="M83" s="11">
        <f ca="1">(L83/J83)</f>
        <v>0.14885496183206107</v>
      </c>
      <c r="N83" s="18">
        <v>20</v>
      </c>
      <c r="O83" s="18" t="str">
        <f t="shared" ca="1" si="5"/>
        <v>Understocked</v>
      </c>
      <c r="P83" s="11" t="str">
        <f ca="1">RANDBETWEEN(30,76)&amp;"%"</f>
        <v>48%</v>
      </c>
      <c r="Q83" s="18">
        <f>PRODUCT(K83,N83)</f>
        <v>12040</v>
      </c>
    </row>
    <row r="84" spans="1:17" x14ac:dyDescent="0.45">
      <c r="A84" s="6" t="s">
        <v>71</v>
      </c>
      <c r="B84" s="9" t="s">
        <v>61</v>
      </c>
      <c r="C84" s="6" t="s">
        <v>62</v>
      </c>
      <c r="D84" s="18">
        <f ca="1">RANDBETWEEN(500,1000)</f>
        <v>582</v>
      </c>
      <c r="E84" s="19">
        <v>45406</v>
      </c>
      <c r="F84" s="18">
        <v>97</v>
      </c>
      <c r="G84" s="20">
        <v>0.69</v>
      </c>
      <c r="H84" s="18">
        <f t="shared" ca="1" si="3"/>
        <v>76</v>
      </c>
      <c r="I84" s="18">
        <f t="shared" ca="1" si="4"/>
        <v>112</v>
      </c>
      <c r="J84" s="15">
        <f ca="1">K84-L84</f>
        <v>397</v>
      </c>
      <c r="K84" s="15">
        <v>430</v>
      </c>
      <c r="L84" s="15">
        <f ca="1">RANDBETWEEN(30,87)</f>
        <v>33</v>
      </c>
      <c r="M84" s="11">
        <f ca="1">(L84/J84)</f>
        <v>8.3123425692695208E-2</v>
      </c>
      <c r="N84" s="18">
        <v>74</v>
      </c>
      <c r="O84" s="18" t="str">
        <f t="shared" ca="1" si="5"/>
        <v>Optimal</v>
      </c>
      <c r="P84" s="11" t="str">
        <f ca="1">RANDBETWEEN(30,76)&amp;"%"</f>
        <v>73%</v>
      </c>
      <c r="Q84" s="18">
        <f>PRODUCT(K84,N84)</f>
        <v>31820</v>
      </c>
    </row>
    <row r="85" spans="1:17" x14ac:dyDescent="0.45">
      <c r="A85" s="6" t="s">
        <v>72</v>
      </c>
      <c r="B85" s="9" t="s">
        <v>61</v>
      </c>
      <c r="C85" s="6" t="s">
        <v>62</v>
      </c>
      <c r="D85" s="18">
        <f ca="1">RANDBETWEEN(500,1000)</f>
        <v>994</v>
      </c>
      <c r="E85" s="19">
        <v>45438</v>
      </c>
      <c r="F85" s="18">
        <v>45</v>
      </c>
      <c r="G85" s="20">
        <v>0.36</v>
      </c>
      <c r="H85" s="18">
        <f t="shared" ca="1" si="3"/>
        <v>77</v>
      </c>
      <c r="I85" s="18">
        <f t="shared" ca="1" si="4"/>
        <v>197</v>
      </c>
      <c r="J85" s="15">
        <f ca="1">K85-L85</f>
        <v>292</v>
      </c>
      <c r="K85" s="15">
        <v>344</v>
      </c>
      <c r="L85" s="15">
        <f ca="1">RANDBETWEEN(30,87)</f>
        <v>52</v>
      </c>
      <c r="M85" s="11">
        <f ca="1">(L85/J85)</f>
        <v>0.17808219178082191</v>
      </c>
      <c r="N85" s="18">
        <v>36</v>
      </c>
      <c r="O85" s="18" t="str">
        <f t="shared" ca="1" si="5"/>
        <v>Understocked</v>
      </c>
      <c r="P85" s="11" t="str">
        <f ca="1">RANDBETWEEN(30,76)&amp;"%"</f>
        <v>33%</v>
      </c>
      <c r="Q85" s="18">
        <f>PRODUCT(K85,N85)</f>
        <v>12384</v>
      </c>
    </row>
    <row r="86" spans="1:17" x14ac:dyDescent="0.45">
      <c r="A86" s="6" t="s">
        <v>73</v>
      </c>
      <c r="B86" s="9" t="s">
        <v>61</v>
      </c>
      <c r="C86" s="6" t="s">
        <v>62</v>
      </c>
      <c r="D86" s="18">
        <f ca="1">RANDBETWEEN(500,1000)</f>
        <v>584</v>
      </c>
      <c r="E86" s="19">
        <v>45623</v>
      </c>
      <c r="F86" s="18">
        <v>22</v>
      </c>
      <c r="G86" s="20">
        <v>0.87</v>
      </c>
      <c r="H86" s="18">
        <f t="shared" ca="1" si="3"/>
        <v>75</v>
      </c>
      <c r="I86" s="18">
        <f t="shared" ca="1" si="4"/>
        <v>103</v>
      </c>
      <c r="J86" s="15">
        <f ca="1">K86-L86</f>
        <v>472</v>
      </c>
      <c r="K86" s="15">
        <v>516</v>
      </c>
      <c r="L86" s="15">
        <f ca="1">RANDBETWEEN(30,87)</f>
        <v>44</v>
      </c>
      <c r="M86" s="11">
        <f ca="1">(L86/J86)</f>
        <v>9.3220338983050849E-2</v>
      </c>
      <c r="N86" s="18">
        <v>30</v>
      </c>
      <c r="O86" s="18" t="str">
        <f t="shared" ca="1" si="5"/>
        <v>Understocked</v>
      </c>
      <c r="P86" s="11" t="str">
        <f ca="1">RANDBETWEEN(30,76)&amp;"%"</f>
        <v>72%</v>
      </c>
      <c r="Q86" s="18">
        <f>PRODUCT(K86,N86)</f>
        <v>15480</v>
      </c>
    </row>
    <row r="87" spans="1:17" x14ac:dyDescent="0.45">
      <c r="A87" s="6" t="s">
        <v>74</v>
      </c>
      <c r="B87" s="9" t="s">
        <v>61</v>
      </c>
      <c r="C87" s="6" t="s">
        <v>62</v>
      </c>
      <c r="D87" s="18">
        <f ca="1">RANDBETWEEN(500,1000)</f>
        <v>947</v>
      </c>
      <c r="E87" s="19">
        <v>45706</v>
      </c>
      <c r="F87" s="18">
        <v>36</v>
      </c>
      <c r="G87" s="20">
        <v>0.41</v>
      </c>
      <c r="H87" s="18">
        <f t="shared" ca="1" si="3"/>
        <v>58</v>
      </c>
      <c r="I87" s="18">
        <f t="shared" ca="1" si="4"/>
        <v>146</v>
      </c>
      <c r="J87" s="15">
        <f ca="1">K87-L87</f>
        <v>181.5</v>
      </c>
      <c r="K87" s="15">
        <v>236.5</v>
      </c>
      <c r="L87" s="15">
        <f ca="1">RANDBETWEEN(30,87)</f>
        <v>55</v>
      </c>
      <c r="M87" s="11">
        <f ca="1">(L87/J87)</f>
        <v>0.30303030303030304</v>
      </c>
      <c r="N87" s="18">
        <v>91</v>
      </c>
      <c r="O87" s="18" t="str">
        <f t="shared" ca="1" si="5"/>
        <v>Understocked</v>
      </c>
      <c r="P87" s="11" t="str">
        <f ca="1">RANDBETWEEN(30,76)&amp;"%"</f>
        <v>56%</v>
      </c>
      <c r="Q87" s="18">
        <f>PRODUCT(K87,N87)</f>
        <v>21521.5</v>
      </c>
    </row>
    <row r="88" spans="1:17" x14ac:dyDescent="0.45">
      <c r="A88" s="6" t="s">
        <v>75</v>
      </c>
      <c r="B88" s="9" t="s">
        <v>61</v>
      </c>
      <c r="C88" s="6" t="s">
        <v>62</v>
      </c>
      <c r="D88" s="18">
        <f ca="1">RANDBETWEEN(500,1000)</f>
        <v>871</v>
      </c>
      <c r="E88" s="19">
        <v>45433</v>
      </c>
      <c r="F88" s="18">
        <v>23</v>
      </c>
      <c r="G88" s="20">
        <v>0.77</v>
      </c>
      <c r="H88" s="18">
        <f t="shared" ca="1" si="3"/>
        <v>51</v>
      </c>
      <c r="I88" s="18">
        <f t="shared" ca="1" si="4"/>
        <v>134</v>
      </c>
      <c r="J88" s="15">
        <f ca="1">K88-L88</f>
        <v>194</v>
      </c>
      <c r="K88" s="15">
        <v>234</v>
      </c>
      <c r="L88" s="15">
        <f ca="1">RANDBETWEEN(30,87)</f>
        <v>40</v>
      </c>
      <c r="M88" s="11">
        <f ca="1">(L88/J88)</f>
        <v>0.20618556701030927</v>
      </c>
      <c r="N88" s="18">
        <v>31</v>
      </c>
      <c r="O88" s="18" t="str">
        <f t="shared" ca="1" si="5"/>
        <v>Understocked</v>
      </c>
      <c r="P88" s="11" t="str">
        <f ca="1">RANDBETWEEN(30,76)&amp;"%"</f>
        <v>46%</v>
      </c>
      <c r="Q88" s="18">
        <f>PRODUCT(K88,N88)</f>
        <v>7254</v>
      </c>
    </row>
    <row r="89" spans="1:17" x14ac:dyDescent="0.45">
      <c r="A89" s="6" t="s">
        <v>76</v>
      </c>
      <c r="B89" s="9" t="s">
        <v>61</v>
      </c>
      <c r="C89" s="6" t="s">
        <v>62</v>
      </c>
      <c r="D89" s="18">
        <f ca="1">RANDBETWEEN(500,1000)</f>
        <v>591</v>
      </c>
      <c r="E89" s="19">
        <v>45604</v>
      </c>
      <c r="F89" s="18">
        <v>55</v>
      </c>
      <c r="G89" s="20">
        <v>0.86</v>
      </c>
      <c r="H89" s="18">
        <f t="shared" ca="1" si="3"/>
        <v>52</v>
      </c>
      <c r="I89" s="18">
        <f t="shared" ca="1" si="4"/>
        <v>192</v>
      </c>
      <c r="J89" s="15">
        <f ca="1">K89-L89</f>
        <v>271</v>
      </c>
      <c r="K89" s="15">
        <v>301</v>
      </c>
      <c r="L89" s="15">
        <f ca="1">RANDBETWEEN(30,87)</f>
        <v>30</v>
      </c>
      <c r="M89" s="11">
        <f ca="1">(L89/J89)</f>
        <v>0.11070110701107011</v>
      </c>
      <c r="N89" s="18">
        <v>46</v>
      </c>
      <c r="O89" s="18" t="str">
        <f t="shared" ca="1" si="5"/>
        <v>Optimal</v>
      </c>
      <c r="P89" s="11" t="str">
        <f ca="1">RANDBETWEEN(30,76)&amp;"%"</f>
        <v>58%</v>
      </c>
      <c r="Q89" s="18">
        <f>PRODUCT(K89,N89)</f>
        <v>13846</v>
      </c>
    </row>
    <row r="90" spans="1:17" x14ac:dyDescent="0.45">
      <c r="A90" s="6" t="s">
        <v>77</v>
      </c>
      <c r="B90" s="9" t="s">
        <v>61</v>
      </c>
      <c r="C90" s="6" t="s">
        <v>62</v>
      </c>
      <c r="D90" s="18">
        <f ca="1">RANDBETWEEN(500,1000)</f>
        <v>904</v>
      </c>
      <c r="E90" s="19">
        <v>45567</v>
      </c>
      <c r="F90" s="18">
        <v>74</v>
      </c>
      <c r="G90" s="20">
        <v>0.59</v>
      </c>
      <c r="H90" s="18">
        <f t="shared" ca="1" si="3"/>
        <v>53</v>
      </c>
      <c r="I90" s="18">
        <f t="shared" ca="1" si="4"/>
        <v>156</v>
      </c>
      <c r="J90" s="15">
        <f ca="1">K90-L90</f>
        <v>374.5</v>
      </c>
      <c r="K90" s="15">
        <v>408.5</v>
      </c>
      <c r="L90" s="15">
        <f ca="1">RANDBETWEEN(30,87)</f>
        <v>34</v>
      </c>
      <c r="M90" s="11">
        <f ca="1">(L90/J90)</f>
        <v>9.0787716955941261E-2</v>
      </c>
      <c r="N90" s="18">
        <v>100</v>
      </c>
      <c r="O90" s="18" t="str">
        <f t="shared" ca="1" si="5"/>
        <v>Optimal</v>
      </c>
      <c r="P90" s="11" t="str">
        <f ca="1">RANDBETWEEN(30,76)&amp;"%"</f>
        <v>37%</v>
      </c>
      <c r="Q90" s="18">
        <f>PRODUCT(K90,N90)</f>
        <v>40850</v>
      </c>
    </row>
    <row r="91" spans="1:17" x14ac:dyDescent="0.45">
      <c r="A91" s="6" t="s">
        <v>128</v>
      </c>
      <c r="B91" s="9" t="s">
        <v>129</v>
      </c>
      <c r="C91" s="6" t="s">
        <v>62</v>
      </c>
      <c r="D91" s="18">
        <f ca="1">RANDBETWEEN(500,1000)</f>
        <v>817</v>
      </c>
      <c r="E91" s="19">
        <v>45588</v>
      </c>
      <c r="F91" s="18">
        <v>40</v>
      </c>
      <c r="G91" s="20">
        <v>0.38</v>
      </c>
      <c r="H91" s="18">
        <f t="shared" ca="1" si="3"/>
        <v>76</v>
      </c>
      <c r="I91" s="18">
        <f t="shared" ca="1" si="4"/>
        <v>184</v>
      </c>
      <c r="J91" s="15">
        <f ca="1">K91-L91</f>
        <v>189</v>
      </c>
      <c r="K91" s="15">
        <v>258</v>
      </c>
      <c r="L91" s="15">
        <f ca="1">RANDBETWEEN(30,87)</f>
        <v>69</v>
      </c>
      <c r="M91" s="11">
        <f ca="1">(L91/J91)</f>
        <v>0.36507936507936506</v>
      </c>
      <c r="N91" s="18">
        <v>33</v>
      </c>
      <c r="O91" s="18" t="str">
        <f t="shared" ca="1" si="5"/>
        <v>Understocked</v>
      </c>
      <c r="P91" s="11" t="str">
        <f ca="1">RANDBETWEEN(30,76)&amp;"%"</f>
        <v>33%</v>
      </c>
      <c r="Q91" s="18">
        <f>PRODUCT(K91,N91)</f>
        <v>8514</v>
      </c>
    </row>
    <row r="92" spans="1:17" x14ac:dyDescent="0.45">
      <c r="A92" s="6" t="s">
        <v>130</v>
      </c>
      <c r="B92" s="9" t="s">
        <v>129</v>
      </c>
      <c r="C92" s="6" t="s">
        <v>62</v>
      </c>
      <c r="D92" s="18">
        <f ca="1">RANDBETWEEN(500,1000)</f>
        <v>916</v>
      </c>
      <c r="E92" s="19">
        <v>45482</v>
      </c>
      <c r="F92" s="18">
        <v>78</v>
      </c>
      <c r="G92" s="20">
        <v>0.69</v>
      </c>
      <c r="H92" s="18">
        <f t="shared" ca="1" si="3"/>
        <v>57</v>
      </c>
      <c r="I92" s="18">
        <f t="shared" ca="1" si="4"/>
        <v>108</v>
      </c>
      <c r="J92" s="15">
        <f ca="1">K92-L92</f>
        <v>298</v>
      </c>
      <c r="K92" s="15">
        <v>344</v>
      </c>
      <c r="L92" s="15">
        <f ca="1">RANDBETWEEN(30,87)</f>
        <v>46</v>
      </c>
      <c r="M92" s="11">
        <f ca="1">(L92/J92)</f>
        <v>0.15436241610738255</v>
      </c>
      <c r="N92" s="18">
        <v>54</v>
      </c>
      <c r="O92" s="18" t="str">
        <f t="shared" ca="1" si="5"/>
        <v>Optimal</v>
      </c>
      <c r="P92" s="11" t="str">
        <f ca="1">RANDBETWEEN(30,76)&amp;"%"</f>
        <v>45%</v>
      </c>
      <c r="Q92" s="18">
        <f>PRODUCT(K92,N92)</f>
        <v>18576</v>
      </c>
    </row>
    <row r="93" spans="1:17" x14ac:dyDescent="0.45">
      <c r="A93" s="6" t="s">
        <v>131</v>
      </c>
      <c r="B93" s="9" t="s">
        <v>129</v>
      </c>
      <c r="C93" s="6" t="s">
        <v>62</v>
      </c>
      <c r="D93" s="18">
        <f ca="1">RANDBETWEEN(500,1000)</f>
        <v>696</v>
      </c>
      <c r="E93" s="19">
        <v>45576</v>
      </c>
      <c r="F93" s="18">
        <v>11</v>
      </c>
      <c r="G93" s="20">
        <v>0.63</v>
      </c>
      <c r="H93" s="18">
        <f t="shared" ca="1" si="3"/>
        <v>76</v>
      </c>
      <c r="I93" s="18">
        <f t="shared" ca="1" si="4"/>
        <v>145</v>
      </c>
      <c r="J93" s="15">
        <f ca="1">K93-L93</f>
        <v>396</v>
      </c>
      <c r="K93" s="15">
        <v>430</v>
      </c>
      <c r="L93" s="15">
        <f ca="1">RANDBETWEEN(30,87)</f>
        <v>34</v>
      </c>
      <c r="M93" s="11">
        <f ca="1">(L93/J93)</f>
        <v>8.5858585858585856E-2</v>
      </c>
      <c r="N93" s="18">
        <v>89</v>
      </c>
      <c r="O93" s="18" t="str">
        <f t="shared" ca="1" si="5"/>
        <v>Understocked</v>
      </c>
      <c r="P93" s="11" t="str">
        <f ca="1">RANDBETWEEN(30,76)&amp;"%"</f>
        <v>37%</v>
      </c>
      <c r="Q93" s="18">
        <f>PRODUCT(K93,N93)</f>
        <v>38270</v>
      </c>
    </row>
    <row r="94" spans="1:17" x14ac:dyDescent="0.45">
      <c r="A94" s="6" t="s">
        <v>132</v>
      </c>
      <c r="B94" s="9" t="s">
        <v>129</v>
      </c>
      <c r="C94" s="6" t="s">
        <v>62</v>
      </c>
      <c r="D94" s="18">
        <f ca="1">RANDBETWEEN(500,1000)</f>
        <v>970</v>
      </c>
      <c r="E94" s="19">
        <v>45590</v>
      </c>
      <c r="F94" s="18">
        <v>61</v>
      </c>
      <c r="G94" s="20">
        <v>0.88</v>
      </c>
      <c r="H94" s="18">
        <f t="shared" ca="1" si="3"/>
        <v>51</v>
      </c>
      <c r="I94" s="18">
        <f t="shared" ca="1" si="4"/>
        <v>173</v>
      </c>
      <c r="J94" s="15">
        <f ca="1">K94-L94</f>
        <v>292</v>
      </c>
      <c r="K94" s="15">
        <v>344</v>
      </c>
      <c r="L94" s="15">
        <f ca="1">RANDBETWEEN(30,87)</f>
        <v>52</v>
      </c>
      <c r="M94" s="11">
        <f ca="1">(L94/J94)</f>
        <v>0.17808219178082191</v>
      </c>
      <c r="N94" s="18">
        <v>67</v>
      </c>
      <c r="O94" s="18" t="str">
        <f t="shared" ca="1" si="5"/>
        <v>Optimal</v>
      </c>
      <c r="P94" s="11" t="str">
        <f ca="1">RANDBETWEEN(30,76)&amp;"%"</f>
        <v>48%</v>
      </c>
      <c r="Q94" s="18">
        <f>PRODUCT(K94,N94)</f>
        <v>23048</v>
      </c>
    </row>
    <row r="95" spans="1:17" x14ac:dyDescent="0.45">
      <c r="A95" s="6" t="s">
        <v>133</v>
      </c>
      <c r="B95" s="9" t="s">
        <v>129</v>
      </c>
      <c r="C95" s="6" t="s">
        <v>62</v>
      </c>
      <c r="D95" s="18">
        <f ca="1">RANDBETWEEN(500,1000)</f>
        <v>672</v>
      </c>
      <c r="E95" s="19">
        <v>45630</v>
      </c>
      <c r="F95" s="18">
        <v>84</v>
      </c>
      <c r="G95" s="20">
        <v>0.9</v>
      </c>
      <c r="H95" s="18">
        <f t="shared" ca="1" si="3"/>
        <v>53</v>
      </c>
      <c r="I95" s="18">
        <f t="shared" ca="1" si="4"/>
        <v>149</v>
      </c>
      <c r="J95" s="15">
        <f ca="1">K95-L95</f>
        <v>271</v>
      </c>
      <c r="K95" s="15">
        <v>344</v>
      </c>
      <c r="L95" s="15">
        <f ca="1">RANDBETWEEN(30,87)</f>
        <v>73</v>
      </c>
      <c r="M95" s="11">
        <f ca="1">(L95/J95)</f>
        <v>0.26937269372693728</v>
      </c>
      <c r="N95" s="18">
        <v>25</v>
      </c>
      <c r="O95" s="18" t="str">
        <f t="shared" ca="1" si="5"/>
        <v>Optimal</v>
      </c>
      <c r="P95" s="11" t="str">
        <f ca="1">RANDBETWEEN(30,76)&amp;"%"</f>
        <v>48%</v>
      </c>
      <c r="Q95" s="18">
        <f>PRODUCT(K95,N95)</f>
        <v>8600</v>
      </c>
    </row>
    <row r="96" spans="1:17" x14ac:dyDescent="0.45">
      <c r="A96" s="6" t="s">
        <v>134</v>
      </c>
      <c r="B96" s="9" t="s">
        <v>129</v>
      </c>
      <c r="C96" s="6" t="s">
        <v>62</v>
      </c>
      <c r="D96" s="18">
        <f ca="1">RANDBETWEEN(500,1000)</f>
        <v>648</v>
      </c>
      <c r="E96" s="19">
        <v>45559</v>
      </c>
      <c r="F96" s="18">
        <v>33</v>
      </c>
      <c r="G96" s="20">
        <v>0.86</v>
      </c>
      <c r="H96" s="18">
        <f t="shared" ca="1" si="3"/>
        <v>69</v>
      </c>
      <c r="I96" s="18">
        <f t="shared" ca="1" si="4"/>
        <v>90</v>
      </c>
      <c r="J96" s="15">
        <f ca="1">K96-L96</f>
        <v>80.5</v>
      </c>
      <c r="K96" s="15">
        <v>150.5</v>
      </c>
      <c r="L96" s="15">
        <f ca="1">RANDBETWEEN(30,87)</f>
        <v>70</v>
      </c>
      <c r="M96" s="11">
        <f ca="1">(L96/J96)</f>
        <v>0.86956521739130432</v>
      </c>
      <c r="N96" s="18">
        <v>96</v>
      </c>
      <c r="O96" s="18" t="str">
        <f t="shared" ca="1" si="5"/>
        <v>Understocked</v>
      </c>
      <c r="P96" s="11" t="str">
        <f ca="1">RANDBETWEEN(30,76)&amp;"%"</f>
        <v>57%</v>
      </c>
      <c r="Q96" s="18">
        <f>PRODUCT(K96,N96)</f>
        <v>14448</v>
      </c>
    </row>
    <row r="97" spans="1:17" x14ac:dyDescent="0.45">
      <c r="A97" s="6" t="s">
        <v>135</v>
      </c>
      <c r="B97" s="9" t="s">
        <v>129</v>
      </c>
      <c r="C97" s="6" t="s">
        <v>62</v>
      </c>
      <c r="D97" s="18">
        <f ca="1">RANDBETWEEN(500,1000)</f>
        <v>709</v>
      </c>
      <c r="E97" s="19">
        <v>45435</v>
      </c>
      <c r="F97" s="18">
        <v>87</v>
      </c>
      <c r="G97" s="20">
        <v>0.38</v>
      </c>
      <c r="H97" s="18">
        <f t="shared" ca="1" si="3"/>
        <v>54</v>
      </c>
      <c r="I97" s="18">
        <f t="shared" ca="1" si="4"/>
        <v>179</v>
      </c>
      <c r="J97" s="15">
        <f ca="1">K97-L97</f>
        <v>374</v>
      </c>
      <c r="K97" s="15">
        <v>430</v>
      </c>
      <c r="L97" s="15">
        <f ca="1">RANDBETWEEN(30,87)</f>
        <v>56</v>
      </c>
      <c r="M97" s="11">
        <f ca="1">(L97/J97)</f>
        <v>0.1497326203208556</v>
      </c>
      <c r="N97" s="18">
        <v>90</v>
      </c>
      <c r="O97" s="18" t="str">
        <f t="shared" ca="1" si="5"/>
        <v>Optimal</v>
      </c>
      <c r="P97" s="11" t="str">
        <f ca="1">RANDBETWEEN(30,76)&amp;"%"</f>
        <v>72%</v>
      </c>
      <c r="Q97" s="18">
        <f>PRODUCT(K97,N97)</f>
        <v>38700</v>
      </c>
    </row>
    <row r="98" spans="1:17" x14ac:dyDescent="0.45">
      <c r="A98" s="6" t="s">
        <v>136</v>
      </c>
      <c r="B98" s="9" t="s">
        <v>129</v>
      </c>
      <c r="C98" s="6" t="s">
        <v>62</v>
      </c>
      <c r="D98" s="18">
        <f ca="1">RANDBETWEEN(500,1000)</f>
        <v>508</v>
      </c>
      <c r="E98" s="19">
        <v>45453</v>
      </c>
      <c r="F98" s="18">
        <v>24</v>
      </c>
      <c r="G98" s="20">
        <v>0.81</v>
      </c>
      <c r="H98" s="18">
        <f t="shared" ca="1" si="3"/>
        <v>60</v>
      </c>
      <c r="I98" s="18">
        <f t="shared" ca="1" si="4"/>
        <v>114</v>
      </c>
      <c r="J98" s="15">
        <f ca="1">K98-L98</f>
        <v>469</v>
      </c>
      <c r="K98" s="15">
        <v>516</v>
      </c>
      <c r="L98" s="15">
        <f ca="1">RANDBETWEEN(30,87)</f>
        <v>47</v>
      </c>
      <c r="M98" s="11">
        <f ca="1">(L98/J98)</f>
        <v>0.10021321961620469</v>
      </c>
      <c r="N98" s="18">
        <v>80</v>
      </c>
      <c r="O98" s="18" t="str">
        <f t="shared" ca="1" si="5"/>
        <v>Understocked</v>
      </c>
      <c r="P98" s="11" t="str">
        <f ca="1">RANDBETWEEN(30,76)&amp;"%"</f>
        <v>34%</v>
      </c>
      <c r="Q98" s="18">
        <f>PRODUCT(K98,N98)</f>
        <v>41280</v>
      </c>
    </row>
    <row r="99" spans="1:17" x14ac:dyDescent="0.45">
      <c r="A99" s="6" t="s">
        <v>137</v>
      </c>
      <c r="B99" s="9" t="s">
        <v>129</v>
      </c>
      <c r="C99" s="6" t="s">
        <v>62</v>
      </c>
      <c r="D99" s="18">
        <f ca="1">RANDBETWEEN(500,1000)</f>
        <v>653</v>
      </c>
      <c r="E99" s="19">
        <v>45676</v>
      </c>
      <c r="F99" s="18">
        <v>37</v>
      </c>
      <c r="G99" s="20">
        <v>0.85</v>
      </c>
      <c r="H99" s="18">
        <f t="shared" ca="1" si="3"/>
        <v>64</v>
      </c>
      <c r="I99" s="18">
        <f t="shared" ca="1" si="4"/>
        <v>71</v>
      </c>
      <c r="J99" s="15">
        <f ca="1">K99-L99</f>
        <v>141.1</v>
      </c>
      <c r="K99" s="15">
        <v>202.1</v>
      </c>
      <c r="L99" s="15">
        <f ca="1">RANDBETWEEN(30,87)</f>
        <v>61</v>
      </c>
      <c r="M99" s="11">
        <f ca="1">(L99/J99)</f>
        <v>0.43231750531537916</v>
      </c>
      <c r="N99" s="18">
        <v>94</v>
      </c>
      <c r="O99" s="18" t="str">
        <f t="shared" ca="1" si="5"/>
        <v>Understocked</v>
      </c>
      <c r="P99" s="11" t="str">
        <f ca="1">RANDBETWEEN(30,76)&amp;"%"</f>
        <v>38%</v>
      </c>
      <c r="Q99" s="18">
        <f>PRODUCT(K99,N99)</f>
        <v>18997.399999999998</v>
      </c>
    </row>
    <row r="100" spans="1:17" x14ac:dyDescent="0.45">
      <c r="A100" s="6" t="s">
        <v>138</v>
      </c>
      <c r="B100" s="9" t="s">
        <v>129</v>
      </c>
      <c r="C100" s="6" t="s">
        <v>62</v>
      </c>
      <c r="D100" s="18">
        <f ca="1">RANDBETWEEN(500,1000)</f>
        <v>702</v>
      </c>
      <c r="E100" s="19">
        <v>45411</v>
      </c>
      <c r="F100" s="18">
        <v>62</v>
      </c>
      <c r="G100" s="20">
        <v>0.57999999999999996</v>
      </c>
      <c r="H100" s="18">
        <f t="shared" ca="1" si="3"/>
        <v>61</v>
      </c>
      <c r="I100" s="18">
        <f t="shared" ca="1" si="4"/>
        <v>108</v>
      </c>
      <c r="J100" s="15">
        <f ca="1">K100-L100</f>
        <v>783</v>
      </c>
      <c r="K100" s="15">
        <v>860</v>
      </c>
      <c r="L100" s="15">
        <f ca="1">RANDBETWEEN(30,87)</f>
        <v>77</v>
      </c>
      <c r="M100" s="11">
        <f ca="1">(L100/J100)</f>
        <v>9.8339719029374204E-2</v>
      </c>
      <c r="N100" s="18">
        <v>34</v>
      </c>
      <c r="O100" s="18" t="str">
        <f t="shared" ca="1" si="5"/>
        <v>Optimal</v>
      </c>
      <c r="P100" s="11" t="str">
        <f ca="1">RANDBETWEEN(30,76)&amp;"%"</f>
        <v>53%</v>
      </c>
      <c r="Q100" s="18">
        <f>PRODUCT(K100,N100)</f>
        <v>29240</v>
      </c>
    </row>
    <row r="101" spans="1:17" x14ac:dyDescent="0.45">
      <c r="A101" s="6" t="s">
        <v>152</v>
      </c>
      <c r="B101" s="9" t="s">
        <v>153</v>
      </c>
      <c r="C101" s="6" t="s">
        <v>62</v>
      </c>
      <c r="D101" s="18">
        <f ca="1">RANDBETWEEN(500,1000)</f>
        <v>531</v>
      </c>
      <c r="E101" s="19">
        <v>45577</v>
      </c>
      <c r="F101" s="18">
        <v>35</v>
      </c>
      <c r="G101" s="20">
        <v>0.68</v>
      </c>
      <c r="H101" s="18">
        <f t="shared" ca="1" si="3"/>
        <v>77</v>
      </c>
      <c r="I101" s="18">
        <f t="shared" ca="1" si="4"/>
        <v>113</v>
      </c>
      <c r="J101" s="15">
        <f ca="1">K101-L101</f>
        <v>438</v>
      </c>
      <c r="K101" s="15">
        <v>516</v>
      </c>
      <c r="L101" s="15">
        <f ca="1">RANDBETWEEN(30,87)</f>
        <v>78</v>
      </c>
      <c r="M101" s="11">
        <f ca="1">(L101/J101)</f>
        <v>0.17808219178082191</v>
      </c>
      <c r="N101" s="18">
        <v>39</v>
      </c>
      <c r="O101" s="18" t="str">
        <f t="shared" ca="1" si="5"/>
        <v>Understocked</v>
      </c>
      <c r="P101" s="11" t="str">
        <f ca="1">RANDBETWEEN(30,76)&amp;"%"</f>
        <v>49%</v>
      </c>
      <c r="Q101" s="18">
        <f>PRODUCT(K101,N101)</f>
        <v>20124</v>
      </c>
    </row>
    <row r="102" spans="1:17" x14ac:dyDescent="0.45">
      <c r="A102" s="6" t="s">
        <v>154</v>
      </c>
      <c r="B102" s="9" t="s">
        <v>153</v>
      </c>
      <c r="C102" s="6" t="s">
        <v>62</v>
      </c>
      <c r="D102" s="18">
        <f ca="1">RANDBETWEEN(500,1000)</f>
        <v>650</v>
      </c>
      <c r="E102" s="19">
        <v>45473</v>
      </c>
      <c r="F102" s="18">
        <v>59</v>
      </c>
      <c r="G102" s="20">
        <v>0.37</v>
      </c>
      <c r="H102" s="18">
        <f t="shared" ca="1" si="3"/>
        <v>72</v>
      </c>
      <c r="I102" s="18">
        <f t="shared" ca="1" si="4"/>
        <v>141</v>
      </c>
      <c r="J102" s="15">
        <f ca="1">K102-L102</f>
        <v>1247</v>
      </c>
      <c r="K102" s="15">
        <v>1290</v>
      </c>
      <c r="L102" s="15">
        <f ca="1">RANDBETWEEN(30,87)</f>
        <v>43</v>
      </c>
      <c r="M102" s="11">
        <f ca="1">(L102/J102)</f>
        <v>3.4482758620689655E-2</v>
      </c>
      <c r="N102" s="18">
        <v>45</v>
      </c>
      <c r="O102" s="18" t="str">
        <f t="shared" ca="1" si="5"/>
        <v>Understocked</v>
      </c>
      <c r="P102" s="11" t="str">
        <f ca="1">RANDBETWEEN(30,76)&amp;"%"</f>
        <v>35%</v>
      </c>
      <c r="Q102" s="18">
        <f>PRODUCT(K102,N102)</f>
        <v>58050</v>
      </c>
    </row>
    <row r="103" spans="1:17" x14ac:dyDescent="0.45">
      <c r="A103" s="6" t="s">
        <v>155</v>
      </c>
      <c r="B103" s="9" t="s">
        <v>153</v>
      </c>
      <c r="C103" s="6" t="s">
        <v>62</v>
      </c>
      <c r="D103" s="18">
        <f ca="1">RANDBETWEEN(500,1000)</f>
        <v>531</v>
      </c>
      <c r="E103" s="19">
        <v>45371</v>
      </c>
      <c r="F103" s="18">
        <v>56</v>
      </c>
      <c r="G103" s="20">
        <v>0.62</v>
      </c>
      <c r="H103" s="18">
        <f t="shared" ca="1" si="3"/>
        <v>55</v>
      </c>
      <c r="I103" s="18">
        <f t="shared" ca="1" si="4"/>
        <v>179</v>
      </c>
      <c r="J103" s="15">
        <f ca="1">K103-L103</f>
        <v>154</v>
      </c>
      <c r="K103" s="15">
        <v>215</v>
      </c>
      <c r="L103" s="15">
        <f ca="1">RANDBETWEEN(30,87)</f>
        <v>61</v>
      </c>
      <c r="M103" s="11">
        <f ca="1">(L103/J103)</f>
        <v>0.39610389610389612</v>
      </c>
      <c r="N103" s="18">
        <v>52</v>
      </c>
      <c r="O103" s="18" t="str">
        <f t="shared" ca="1" si="5"/>
        <v>Optimal</v>
      </c>
      <c r="P103" s="11" t="str">
        <f ca="1">RANDBETWEEN(30,76)&amp;"%"</f>
        <v>59%</v>
      </c>
      <c r="Q103" s="18">
        <f>PRODUCT(K103,N103)</f>
        <v>11180</v>
      </c>
    </row>
    <row r="104" spans="1:17" x14ac:dyDescent="0.45">
      <c r="A104" s="6" t="s">
        <v>156</v>
      </c>
      <c r="B104" s="9" t="s">
        <v>153</v>
      </c>
      <c r="C104" s="6" t="s">
        <v>62</v>
      </c>
      <c r="D104" s="18">
        <f ca="1">RANDBETWEEN(500,1000)</f>
        <v>729</v>
      </c>
      <c r="E104" s="19">
        <v>45413</v>
      </c>
      <c r="F104" s="18">
        <v>18</v>
      </c>
      <c r="G104" s="20">
        <v>0.77</v>
      </c>
      <c r="H104" s="18">
        <f t="shared" ca="1" si="3"/>
        <v>73</v>
      </c>
      <c r="I104" s="18">
        <f t="shared" ca="1" si="4"/>
        <v>113</v>
      </c>
      <c r="J104" s="15">
        <f ca="1">K104-L104</f>
        <v>140</v>
      </c>
      <c r="K104" s="15">
        <v>172</v>
      </c>
      <c r="L104" s="15">
        <f ca="1">RANDBETWEEN(30,87)</f>
        <v>32</v>
      </c>
      <c r="M104" s="11">
        <f ca="1">(L104/J104)</f>
        <v>0.22857142857142856</v>
      </c>
      <c r="N104" s="18">
        <v>65</v>
      </c>
      <c r="O104" s="18" t="str">
        <f t="shared" ca="1" si="5"/>
        <v>Understocked</v>
      </c>
      <c r="P104" s="11" t="str">
        <f ca="1">RANDBETWEEN(30,76)&amp;"%"</f>
        <v>33%</v>
      </c>
      <c r="Q104" s="18">
        <f>PRODUCT(K104,N104)</f>
        <v>11180</v>
      </c>
    </row>
    <row r="105" spans="1:17" x14ac:dyDescent="0.45">
      <c r="A105" s="6" t="s">
        <v>157</v>
      </c>
      <c r="B105" s="9" t="s">
        <v>153</v>
      </c>
      <c r="C105" s="6" t="s">
        <v>62</v>
      </c>
      <c r="D105" s="18">
        <f ca="1">RANDBETWEEN(500,1000)</f>
        <v>787</v>
      </c>
      <c r="E105" s="19">
        <v>45372</v>
      </c>
      <c r="F105" s="18">
        <v>45</v>
      </c>
      <c r="G105" s="20">
        <v>0.38</v>
      </c>
      <c r="H105" s="18">
        <f t="shared" ca="1" si="3"/>
        <v>54</v>
      </c>
      <c r="I105" s="18">
        <f t="shared" ca="1" si="4"/>
        <v>172</v>
      </c>
      <c r="J105" s="15">
        <f ca="1">K105-L105</f>
        <v>985</v>
      </c>
      <c r="K105" s="15">
        <v>1032</v>
      </c>
      <c r="L105" s="15">
        <f ca="1">RANDBETWEEN(30,87)</f>
        <v>47</v>
      </c>
      <c r="M105" s="11">
        <f ca="1">(L105/J105)</f>
        <v>4.7715736040609136E-2</v>
      </c>
      <c r="N105" s="18">
        <v>90</v>
      </c>
      <c r="O105" s="18" t="str">
        <f t="shared" ca="1" si="5"/>
        <v>Understocked</v>
      </c>
      <c r="P105" s="11" t="str">
        <f ca="1">RANDBETWEEN(30,76)&amp;"%"</f>
        <v>74%</v>
      </c>
      <c r="Q105" s="18">
        <f>PRODUCT(K105,N105)</f>
        <v>92880</v>
      </c>
    </row>
    <row r="106" spans="1:17" x14ac:dyDescent="0.45">
      <c r="A106" s="6" t="s">
        <v>504</v>
      </c>
      <c r="B106" s="9" t="s">
        <v>505</v>
      </c>
      <c r="C106" s="6" t="s">
        <v>62</v>
      </c>
      <c r="D106" s="18">
        <f ca="1">RANDBETWEEN(500,1000)</f>
        <v>904</v>
      </c>
      <c r="E106" s="19">
        <v>45622</v>
      </c>
      <c r="F106" s="18">
        <v>90</v>
      </c>
      <c r="G106" s="20">
        <v>0.77</v>
      </c>
      <c r="H106" s="18">
        <f t="shared" ca="1" si="3"/>
        <v>69</v>
      </c>
      <c r="I106" s="18">
        <f t="shared" ca="1" si="4"/>
        <v>86</v>
      </c>
      <c r="J106" s="15">
        <f ca="1">K106-L106</f>
        <v>323.2</v>
      </c>
      <c r="K106" s="15">
        <v>361.2</v>
      </c>
      <c r="L106" s="15">
        <f ca="1">RANDBETWEEN(30,87)</f>
        <v>38</v>
      </c>
      <c r="M106" s="11">
        <f ca="1">(L106/J106)</f>
        <v>0.11757425742574258</v>
      </c>
      <c r="N106" s="18">
        <v>81</v>
      </c>
      <c r="O106" s="18" t="str">
        <f t="shared" ca="1" si="5"/>
        <v>Optimal</v>
      </c>
      <c r="P106" s="11" t="str">
        <f ca="1">RANDBETWEEN(30,76)&amp;"%"</f>
        <v>59%</v>
      </c>
      <c r="Q106" s="18">
        <f>PRODUCT(K106,N106)</f>
        <v>29257.200000000001</v>
      </c>
    </row>
    <row r="107" spans="1:17" hidden="1" x14ac:dyDescent="0.45">
      <c r="A107" s="6" t="s">
        <v>158</v>
      </c>
      <c r="B107" s="9" t="s">
        <v>153</v>
      </c>
      <c r="C107" s="6" t="s">
        <v>62</v>
      </c>
      <c r="D107" s="18">
        <f ca="1">RANDBETWEEN(8,15)</f>
        <v>9</v>
      </c>
      <c r="E107" s="19">
        <v>45397</v>
      </c>
      <c r="F107" s="18">
        <v>19</v>
      </c>
      <c r="G107" s="20">
        <v>0.56999999999999995</v>
      </c>
      <c r="H107" s="18">
        <v>78</v>
      </c>
      <c r="I107" s="18">
        <v>90</v>
      </c>
      <c r="J107" s="15">
        <f ca="1">K107-L107</f>
        <v>-0.20000000000000284</v>
      </c>
      <c r="K107" s="15">
        <v>68.8</v>
      </c>
      <c r="L107" s="15">
        <f ca="1">RANDBETWEEN(30,87)</f>
        <v>69</v>
      </c>
      <c r="M107" s="11">
        <f ca="1">(L107/J107)</f>
        <v>-344.99999999999511</v>
      </c>
      <c r="N107" s="18">
        <v>72</v>
      </c>
      <c r="O107" s="18" t="s">
        <v>18</v>
      </c>
      <c r="P107" s="11" t="str">
        <f ca="1">RANDBETWEEN(30,76)&amp;"%"</f>
        <v>73%</v>
      </c>
      <c r="Q107" s="18">
        <f>PRODUCT(K107,N107)</f>
        <v>4953.5999999999995</v>
      </c>
    </row>
    <row r="108" spans="1:17" x14ac:dyDescent="0.45">
      <c r="A108" s="6" t="s">
        <v>506</v>
      </c>
      <c r="B108" s="9" t="s">
        <v>505</v>
      </c>
      <c r="C108" s="6" t="s">
        <v>62</v>
      </c>
      <c r="D108" s="18">
        <f ca="1">RANDBETWEEN(500,1000)</f>
        <v>525</v>
      </c>
      <c r="E108" s="19">
        <v>45485</v>
      </c>
      <c r="F108" s="18">
        <v>27</v>
      </c>
      <c r="G108" s="20">
        <v>0.31</v>
      </c>
      <c r="H108" s="18">
        <f t="shared" ref="H108:H171" ca="1" si="6">RANDBETWEEN(50,80)</f>
        <v>58</v>
      </c>
      <c r="I108" s="18">
        <f t="shared" ref="I108:I171" ca="1" si="7">RANDBETWEEN(70,200)</f>
        <v>176</v>
      </c>
      <c r="J108" s="15">
        <f ca="1">K108-L108</f>
        <v>217</v>
      </c>
      <c r="K108" s="15">
        <v>301</v>
      </c>
      <c r="L108" s="15">
        <f ca="1">RANDBETWEEN(30,87)</f>
        <v>84</v>
      </c>
      <c r="M108" s="11">
        <f ca="1">(L108/J108)</f>
        <v>0.38709677419354838</v>
      </c>
      <c r="N108" s="18">
        <v>88</v>
      </c>
      <c r="O108" s="18" t="str">
        <f t="shared" ref="O108:O171" ca="1" si="8">IF(F108&lt;H108,"Understocked","Optimal")</f>
        <v>Understocked</v>
      </c>
      <c r="P108" s="11" t="str">
        <f ca="1">RANDBETWEEN(30,76)&amp;"%"</f>
        <v>73%</v>
      </c>
      <c r="Q108" s="18">
        <f>PRODUCT(K108,N108)</f>
        <v>26488</v>
      </c>
    </row>
    <row r="109" spans="1:17" x14ac:dyDescent="0.45">
      <c r="A109" s="6" t="s">
        <v>507</v>
      </c>
      <c r="B109" s="9" t="s">
        <v>505</v>
      </c>
      <c r="C109" s="6" t="s">
        <v>62</v>
      </c>
      <c r="D109" s="18">
        <f ca="1">RANDBETWEEN(500,1000)</f>
        <v>521</v>
      </c>
      <c r="E109" s="19">
        <v>45483</v>
      </c>
      <c r="F109" s="18">
        <v>29</v>
      </c>
      <c r="G109" s="20">
        <v>0.56999999999999995</v>
      </c>
      <c r="H109" s="18">
        <f t="shared" ca="1" si="6"/>
        <v>79</v>
      </c>
      <c r="I109" s="18">
        <f t="shared" ca="1" si="7"/>
        <v>148</v>
      </c>
      <c r="J109" s="15">
        <f ca="1">K109-L109</f>
        <v>296</v>
      </c>
      <c r="K109" s="15">
        <v>344</v>
      </c>
      <c r="L109" s="15">
        <f ca="1">RANDBETWEEN(30,87)</f>
        <v>48</v>
      </c>
      <c r="M109" s="11">
        <f ca="1">(L109/J109)</f>
        <v>0.16216216216216217</v>
      </c>
      <c r="N109" s="18">
        <v>28</v>
      </c>
      <c r="O109" s="18" t="str">
        <f t="shared" ca="1" si="8"/>
        <v>Understocked</v>
      </c>
      <c r="P109" s="11" t="str">
        <f ca="1">RANDBETWEEN(30,76)&amp;"%"</f>
        <v>71%</v>
      </c>
      <c r="Q109" s="18">
        <f>PRODUCT(K109,N109)</f>
        <v>9632</v>
      </c>
    </row>
    <row r="110" spans="1:17" x14ac:dyDescent="0.45">
      <c r="A110" s="6" t="s">
        <v>508</v>
      </c>
      <c r="B110" s="9" t="s">
        <v>505</v>
      </c>
      <c r="C110" s="6" t="s">
        <v>62</v>
      </c>
      <c r="D110" s="18">
        <f ca="1">RANDBETWEEN(500,1000)</f>
        <v>659</v>
      </c>
      <c r="E110" s="19">
        <v>45700</v>
      </c>
      <c r="F110" s="18">
        <v>62</v>
      </c>
      <c r="G110" s="20">
        <v>0.32</v>
      </c>
      <c r="H110" s="18">
        <f t="shared" ca="1" si="6"/>
        <v>51</v>
      </c>
      <c r="I110" s="18">
        <f t="shared" ca="1" si="7"/>
        <v>137</v>
      </c>
      <c r="J110" s="15">
        <f ca="1">K110-L110</f>
        <v>532</v>
      </c>
      <c r="K110" s="15">
        <v>602</v>
      </c>
      <c r="L110" s="15">
        <f ca="1">RANDBETWEEN(30,87)</f>
        <v>70</v>
      </c>
      <c r="M110" s="11">
        <f ca="1">(L110/J110)</f>
        <v>0.13157894736842105</v>
      </c>
      <c r="N110" s="18">
        <v>35</v>
      </c>
      <c r="O110" s="18" t="str">
        <f t="shared" ca="1" si="8"/>
        <v>Optimal</v>
      </c>
      <c r="P110" s="11" t="str">
        <f ca="1">RANDBETWEEN(30,76)&amp;"%"</f>
        <v>68%</v>
      </c>
      <c r="Q110" s="18">
        <f>PRODUCT(K110,N110)</f>
        <v>21070</v>
      </c>
    </row>
    <row r="111" spans="1:17" x14ac:dyDescent="0.45">
      <c r="A111" s="6" t="s">
        <v>509</v>
      </c>
      <c r="B111" s="9" t="s">
        <v>505</v>
      </c>
      <c r="C111" s="6" t="s">
        <v>62</v>
      </c>
      <c r="D111" s="18">
        <f ca="1">RANDBETWEEN(500,1000)</f>
        <v>799</v>
      </c>
      <c r="E111" s="19">
        <v>45477</v>
      </c>
      <c r="F111" s="18">
        <v>20</v>
      </c>
      <c r="G111" s="20">
        <v>0.36</v>
      </c>
      <c r="H111" s="18">
        <f t="shared" ca="1" si="6"/>
        <v>61</v>
      </c>
      <c r="I111" s="18">
        <f t="shared" ca="1" si="7"/>
        <v>154</v>
      </c>
      <c r="J111" s="15">
        <f ca="1">K111-L111</f>
        <v>456</v>
      </c>
      <c r="K111" s="15">
        <v>516</v>
      </c>
      <c r="L111" s="15">
        <f ca="1">RANDBETWEEN(30,87)</f>
        <v>60</v>
      </c>
      <c r="M111" s="11">
        <f ca="1">(L111/J111)</f>
        <v>0.13157894736842105</v>
      </c>
      <c r="N111" s="18">
        <v>38</v>
      </c>
      <c r="O111" s="18" t="str">
        <f t="shared" ca="1" si="8"/>
        <v>Understocked</v>
      </c>
      <c r="P111" s="11" t="str">
        <f ca="1">RANDBETWEEN(30,76)&amp;"%"</f>
        <v>49%</v>
      </c>
      <c r="Q111" s="18">
        <f>PRODUCT(K111,N111)</f>
        <v>19608</v>
      </c>
    </row>
    <row r="112" spans="1:17" x14ac:dyDescent="0.45">
      <c r="A112" s="6" t="s">
        <v>510</v>
      </c>
      <c r="B112" s="9" t="s">
        <v>505</v>
      </c>
      <c r="C112" s="6" t="s">
        <v>62</v>
      </c>
      <c r="D112" s="18">
        <f ca="1">RANDBETWEEN(500,1000)</f>
        <v>740</v>
      </c>
      <c r="E112" s="19">
        <v>45367</v>
      </c>
      <c r="F112" s="18">
        <v>61</v>
      </c>
      <c r="G112" s="20">
        <v>0.63</v>
      </c>
      <c r="H112" s="18">
        <f t="shared" ca="1" si="6"/>
        <v>50</v>
      </c>
      <c r="I112" s="18">
        <f t="shared" ca="1" si="7"/>
        <v>71</v>
      </c>
      <c r="J112" s="15">
        <f ca="1">K112-L112</f>
        <v>372</v>
      </c>
      <c r="K112" s="15">
        <v>430</v>
      </c>
      <c r="L112" s="15">
        <f ca="1">RANDBETWEEN(30,87)</f>
        <v>58</v>
      </c>
      <c r="M112" s="11">
        <f ca="1">(L112/J112)</f>
        <v>0.15591397849462366</v>
      </c>
      <c r="N112" s="18">
        <v>95</v>
      </c>
      <c r="O112" s="18" t="str">
        <f t="shared" ca="1" si="8"/>
        <v>Optimal</v>
      </c>
      <c r="P112" s="11" t="str">
        <f ca="1">RANDBETWEEN(30,76)&amp;"%"</f>
        <v>39%</v>
      </c>
      <c r="Q112" s="18">
        <f>PRODUCT(K112,N112)</f>
        <v>40850</v>
      </c>
    </row>
    <row r="113" spans="1:17" x14ac:dyDescent="0.45">
      <c r="A113" s="6" t="s">
        <v>511</v>
      </c>
      <c r="B113" s="9" t="s">
        <v>505</v>
      </c>
      <c r="C113" s="6" t="s">
        <v>62</v>
      </c>
      <c r="D113" s="18">
        <f ca="1">RANDBETWEEN(500,1000)</f>
        <v>600</v>
      </c>
      <c r="E113" s="19">
        <v>45690</v>
      </c>
      <c r="F113" s="18">
        <v>43</v>
      </c>
      <c r="G113" s="20">
        <v>0.9</v>
      </c>
      <c r="H113" s="18">
        <f t="shared" ca="1" si="6"/>
        <v>62</v>
      </c>
      <c r="I113" s="18">
        <f t="shared" ca="1" si="7"/>
        <v>155</v>
      </c>
      <c r="J113" s="15">
        <f ca="1">K113-L113</f>
        <v>98</v>
      </c>
      <c r="K113" s="15">
        <v>172</v>
      </c>
      <c r="L113" s="15">
        <f ca="1">RANDBETWEEN(30,87)</f>
        <v>74</v>
      </c>
      <c r="M113" s="11">
        <f ca="1">(L113/J113)</f>
        <v>0.75510204081632648</v>
      </c>
      <c r="N113" s="18">
        <v>88</v>
      </c>
      <c r="O113" s="18" t="str">
        <f t="shared" ca="1" si="8"/>
        <v>Understocked</v>
      </c>
      <c r="P113" s="11" t="str">
        <f ca="1">RANDBETWEEN(30,76)&amp;"%"</f>
        <v>68%</v>
      </c>
      <c r="Q113" s="18">
        <f>PRODUCT(K113,N113)</f>
        <v>15136</v>
      </c>
    </row>
    <row r="114" spans="1:17" x14ac:dyDescent="0.45">
      <c r="A114" s="6" t="s">
        <v>512</v>
      </c>
      <c r="B114" s="9" t="s">
        <v>505</v>
      </c>
      <c r="C114" s="6" t="s">
        <v>62</v>
      </c>
      <c r="D114" s="18">
        <f ca="1">RANDBETWEEN(500,1000)</f>
        <v>541</v>
      </c>
      <c r="E114" s="19">
        <v>45635</v>
      </c>
      <c r="F114" s="18">
        <v>75</v>
      </c>
      <c r="G114" s="20">
        <v>0.82</v>
      </c>
      <c r="H114" s="18">
        <f t="shared" ca="1" si="6"/>
        <v>64</v>
      </c>
      <c r="I114" s="18">
        <f t="shared" ca="1" si="7"/>
        <v>102</v>
      </c>
      <c r="J114" s="15">
        <f ca="1">K114-L114</f>
        <v>735</v>
      </c>
      <c r="K114" s="15">
        <v>774</v>
      </c>
      <c r="L114" s="15">
        <f ca="1">RANDBETWEEN(30,87)</f>
        <v>39</v>
      </c>
      <c r="M114" s="11">
        <f ca="1">(L114/J114)</f>
        <v>5.3061224489795916E-2</v>
      </c>
      <c r="N114" s="18">
        <v>33</v>
      </c>
      <c r="O114" s="18" t="str">
        <f t="shared" ca="1" si="8"/>
        <v>Optimal</v>
      </c>
      <c r="P114" s="11" t="str">
        <f ca="1">RANDBETWEEN(30,76)&amp;"%"</f>
        <v>58%</v>
      </c>
      <c r="Q114" s="18">
        <f>PRODUCT(K114,N114)</f>
        <v>25542</v>
      </c>
    </row>
    <row r="115" spans="1:17" x14ac:dyDescent="0.45">
      <c r="A115" s="6" t="s">
        <v>513</v>
      </c>
      <c r="B115" s="9" t="s">
        <v>514</v>
      </c>
      <c r="C115" s="6" t="s">
        <v>62</v>
      </c>
      <c r="D115" s="18">
        <f ca="1">RANDBETWEEN(500,1000)</f>
        <v>696</v>
      </c>
      <c r="E115" s="19">
        <v>45620</v>
      </c>
      <c r="F115" s="18">
        <v>26</v>
      </c>
      <c r="G115" s="20">
        <v>0.34</v>
      </c>
      <c r="H115" s="18">
        <f t="shared" ca="1" si="6"/>
        <v>72</v>
      </c>
      <c r="I115" s="18">
        <f t="shared" ca="1" si="7"/>
        <v>152</v>
      </c>
      <c r="J115" s="15">
        <f ca="1">K115-L115</f>
        <v>180</v>
      </c>
      <c r="K115" s="15">
        <v>258</v>
      </c>
      <c r="L115" s="15">
        <f ca="1">RANDBETWEEN(30,87)</f>
        <v>78</v>
      </c>
      <c r="M115" s="11">
        <f ca="1">(L115/J115)</f>
        <v>0.43333333333333335</v>
      </c>
      <c r="N115" s="18">
        <v>92</v>
      </c>
      <c r="O115" s="18" t="str">
        <f t="shared" ca="1" si="8"/>
        <v>Understocked</v>
      </c>
      <c r="P115" s="11" t="str">
        <f ca="1">RANDBETWEEN(30,76)&amp;"%"</f>
        <v>54%</v>
      </c>
      <c r="Q115" s="18">
        <f>PRODUCT(K115,N115)</f>
        <v>23736</v>
      </c>
    </row>
    <row r="116" spans="1:17" x14ac:dyDescent="0.45">
      <c r="A116" s="6" t="s">
        <v>515</v>
      </c>
      <c r="B116" s="9" t="s">
        <v>514</v>
      </c>
      <c r="C116" s="6" t="s">
        <v>62</v>
      </c>
      <c r="D116" s="18">
        <f ca="1">RANDBETWEEN(500,1000)</f>
        <v>860</v>
      </c>
      <c r="E116" s="19">
        <v>45476</v>
      </c>
      <c r="F116" s="18">
        <v>34</v>
      </c>
      <c r="G116" s="20">
        <v>0.31</v>
      </c>
      <c r="H116" s="18">
        <f t="shared" ca="1" si="6"/>
        <v>52</v>
      </c>
      <c r="I116" s="18">
        <f t="shared" ca="1" si="7"/>
        <v>156</v>
      </c>
      <c r="J116" s="15">
        <f ca="1">K116-L116</f>
        <v>631</v>
      </c>
      <c r="K116" s="15">
        <v>688</v>
      </c>
      <c r="L116" s="15">
        <f ca="1">RANDBETWEEN(30,87)</f>
        <v>57</v>
      </c>
      <c r="M116" s="11">
        <f ca="1">(L116/J116)</f>
        <v>9.0332805071315372E-2</v>
      </c>
      <c r="N116" s="18">
        <v>97</v>
      </c>
      <c r="O116" s="18" t="str">
        <f t="shared" ca="1" si="8"/>
        <v>Understocked</v>
      </c>
      <c r="P116" s="11" t="str">
        <f ca="1">RANDBETWEEN(30,76)&amp;"%"</f>
        <v>31%</v>
      </c>
      <c r="Q116" s="18">
        <f>PRODUCT(K116,N116)</f>
        <v>66736</v>
      </c>
    </row>
    <row r="117" spans="1:17" x14ac:dyDescent="0.45">
      <c r="A117" s="6" t="s">
        <v>516</v>
      </c>
      <c r="B117" s="9" t="s">
        <v>514</v>
      </c>
      <c r="C117" s="6" t="s">
        <v>62</v>
      </c>
      <c r="D117" s="18">
        <f ca="1">RANDBETWEEN(500,1000)</f>
        <v>740</v>
      </c>
      <c r="E117" s="19">
        <v>45688</v>
      </c>
      <c r="F117" s="18">
        <v>24</v>
      </c>
      <c r="G117" s="20">
        <v>0.38</v>
      </c>
      <c r="H117" s="18">
        <f t="shared" ca="1" si="6"/>
        <v>80</v>
      </c>
      <c r="I117" s="18">
        <f t="shared" ca="1" si="7"/>
        <v>182</v>
      </c>
      <c r="J117" s="15">
        <f ca="1">K117-L117</f>
        <v>137</v>
      </c>
      <c r="K117" s="15">
        <v>215</v>
      </c>
      <c r="L117" s="15">
        <f ca="1">RANDBETWEEN(30,87)</f>
        <v>78</v>
      </c>
      <c r="M117" s="11">
        <f ca="1">(L117/J117)</f>
        <v>0.56934306569343063</v>
      </c>
      <c r="N117" s="18">
        <v>49</v>
      </c>
      <c r="O117" s="18" t="str">
        <f t="shared" ca="1" si="8"/>
        <v>Understocked</v>
      </c>
      <c r="P117" s="11" t="str">
        <f ca="1">RANDBETWEEN(30,76)&amp;"%"</f>
        <v>75%</v>
      </c>
      <c r="Q117" s="18">
        <f>PRODUCT(K117,N117)</f>
        <v>10535</v>
      </c>
    </row>
    <row r="118" spans="1:17" x14ac:dyDescent="0.45">
      <c r="A118" s="6" t="s">
        <v>517</v>
      </c>
      <c r="B118" s="9" t="s">
        <v>514</v>
      </c>
      <c r="C118" s="6" t="s">
        <v>62</v>
      </c>
      <c r="D118" s="18">
        <f ca="1">RANDBETWEEN(500,1000)</f>
        <v>560</v>
      </c>
      <c r="E118" s="19">
        <v>45476</v>
      </c>
      <c r="F118" s="18">
        <v>15</v>
      </c>
      <c r="G118" s="20">
        <v>0.63</v>
      </c>
      <c r="H118" s="18">
        <f t="shared" ca="1" si="6"/>
        <v>69</v>
      </c>
      <c r="I118" s="18">
        <f t="shared" ca="1" si="7"/>
        <v>85</v>
      </c>
      <c r="J118" s="15">
        <f ca="1">K118-L118</f>
        <v>390</v>
      </c>
      <c r="K118" s="15">
        <v>430</v>
      </c>
      <c r="L118" s="15">
        <f ca="1">RANDBETWEEN(30,87)</f>
        <v>40</v>
      </c>
      <c r="M118" s="11">
        <f ca="1">(L118/J118)</f>
        <v>0.10256410256410256</v>
      </c>
      <c r="N118" s="18">
        <v>60</v>
      </c>
      <c r="O118" s="18" t="str">
        <f t="shared" ca="1" si="8"/>
        <v>Understocked</v>
      </c>
      <c r="P118" s="11" t="str">
        <f ca="1">RANDBETWEEN(30,76)&amp;"%"</f>
        <v>51%</v>
      </c>
      <c r="Q118" s="18">
        <f>PRODUCT(K118,N118)</f>
        <v>25800</v>
      </c>
    </row>
    <row r="119" spans="1:17" x14ac:dyDescent="0.45">
      <c r="A119" s="6" t="s">
        <v>518</v>
      </c>
      <c r="B119" s="9" t="s">
        <v>514</v>
      </c>
      <c r="C119" s="6" t="s">
        <v>62</v>
      </c>
      <c r="D119" s="18">
        <f ca="1">RANDBETWEEN(500,1000)</f>
        <v>816</v>
      </c>
      <c r="E119" s="19">
        <v>45687</v>
      </c>
      <c r="F119" s="18">
        <v>39</v>
      </c>
      <c r="G119" s="20">
        <v>0.38</v>
      </c>
      <c r="H119" s="18">
        <f t="shared" ca="1" si="6"/>
        <v>59</v>
      </c>
      <c r="I119" s="18">
        <f t="shared" ca="1" si="7"/>
        <v>91</v>
      </c>
      <c r="J119" s="15">
        <f ca="1">K119-L119</f>
        <v>187</v>
      </c>
      <c r="K119" s="15">
        <v>258</v>
      </c>
      <c r="L119" s="15">
        <f ca="1">RANDBETWEEN(30,87)</f>
        <v>71</v>
      </c>
      <c r="M119" s="11">
        <f ca="1">(L119/J119)</f>
        <v>0.37967914438502676</v>
      </c>
      <c r="N119" s="18">
        <v>28</v>
      </c>
      <c r="O119" s="18" t="str">
        <f t="shared" ca="1" si="8"/>
        <v>Understocked</v>
      </c>
      <c r="P119" s="11" t="str">
        <f ca="1">RANDBETWEEN(30,76)&amp;"%"</f>
        <v>67%</v>
      </c>
      <c r="Q119" s="18">
        <f>PRODUCT(K119,N119)</f>
        <v>7224</v>
      </c>
    </row>
    <row r="120" spans="1:17" x14ac:dyDescent="0.45">
      <c r="A120" s="6" t="s">
        <v>519</v>
      </c>
      <c r="B120" s="9" t="s">
        <v>514</v>
      </c>
      <c r="C120" s="6" t="s">
        <v>62</v>
      </c>
      <c r="D120" s="18">
        <f ca="1">RANDBETWEEN(500,1000)</f>
        <v>872</v>
      </c>
      <c r="E120" s="19">
        <v>45461</v>
      </c>
      <c r="F120" s="18">
        <v>51</v>
      </c>
      <c r="G120" s="20">
        <v>0.72</v>
      </c>
      <c r="H120" s="18">
        <f t="shared" ca="1" si="6"/>
        <v>54</v>
      </c>
      <c r="I120" s="18">
        <f t="shared" ca="1" si="7"/>
        <v>175</v>
      </c>
      <c r="J120" s="15">
        <f ca="1">K120-L120</f>
        <v>70.2</v>
      </c>
      <c r="K120" s="15">
        <v>103.2</v>
      </c>
      <c r="L120" s="15">
        <f ca="1">RANDBETWEEN(30,87)</f>
        <v>33</v>
      </c>
      <c r="M120" s="11">
        <f ca="1">(L120/J120)</f>
        <v>0.47008547008547008</v>
      </c>
      <c r="N120" s="18">
        <v>96</v>
      </c>
      <c r="O120" s="18" t="str">
        <f t="shared" ca="1" si="8"/>
        <v>Understocked</v>
      </c>
      <c r="P120" s="11" t="str">
        <f ca="1">RANDBETWEEN(30,76)&amp;"%"</f>
        <v>61%</v>
      </c>
      <c r="Q120" s="18">
        <f>PRODUCT(K120,N120)</f>
        <v>9907.2000000000007</v>
      </c>
    </row>
    <row r="121" spans="1:17" x14ac:dyDescent="0.45">
      <c r="A121" s="6" t="s">
        <v>520</v>
      </c>
      <c r="B121" s="9" t="s">
        <v>514</v>
      </c>
      <c r="C121" s="6" t="s">
        <v>62</v>
      </c>
      <c r="D121" s="18">
        <f ca="1">RANDBETWEEN(500,1000)</f>
        <v>755</v>
      </c>
      <c r="E121" s="19">
        <v>45671</v>
      </c>
      <c r="F121" s="18">
        <v>64</v>
      </c>
      <c r="G121" s="20">
        <v>0.62</v>
      </c>
      <c r="H121" s="18">
        <f t="shared" ca="1" si="6"/>
        <v>79</v>
      </c>
      <c r="I121" s="18">
        <f t="shared" ca="1" si="7"/>
        <v>170</v>
      </c>
      <c r="J121" s="15">
        <f ca="1">K121-L121</f>
        <v>279</v>
      </c>
      <c r="K121" s="15">
        <v>344</v>
      </c>
      <c r="L121" s="15">
        <f ca="1">RANDBETWEEN(30,87)</f>
        <v>65</v>
      </c>
      <c r="M121" s="11">
        <f ca="1">(L121/J121)</f>
        <v>0.23297491039426524</v>
      </c>
      <c r="N121" s="18">
        <v>25</v>
      </c>
      <c r="O121" s="18" t="str">
        <f t="shared" ca="1" si="8"/>
        <v>Understocked</v>
      </c>
      <c r="P121" s="11" t="str">
        <f ca="1">RANDBETWEEN(30,76)&amp;"%"</f>
        <v>56%</v>
      </c>
      <c r="Q121" s="18">
        <f>PRODUCT(K121,N121)</f>
        <v>8600</v>
      </c>
    </row>
    <row r="122" spans="1:17" x14ac:dyDescent="0.45">
      <c r="A122" s="6" t="s">
        <v>521</v>
      </c>
      <c r="B122" s="9" t="s">
        <v>514</v>
      </c>
      <c r="C122" s="6" t="s">
        <v>62</v>
      </c>
      <c r="D122" s="18">
        <f ca="1">RANDBETWEEN(500,1000)</f>
        <v>973</v>
      </c>
      <c r="E122" s="19">
        <v>45700</v>
      </c>
      <c r="F122" s="18">
        <v>63</v>
      </c>
      <c r="G122" s="20">
        <v>0.84</v>
      </c>
      <c r="H122" s="18">
        <f t="shared" ca="1" si="6"/>
        <v>68</v>
      </c>
      <c r="I122" s="18">
        <f t="shared" ca="1" si="7"/>
        <v>112</v>
      </c>
      <c r="J122" s="15">
        <f ca="1">K122-L122</f>
        <v>485</v>
      </c>
      <c r="K122" s="15">
        <v>516</v>
      </c>
      <c r="L122" s="15">
        <f ca="1">RANDBETWEEN(30,87)</f>
        <v>31</v>
      </c>
      <c r="M122" s="11">
        <f ca="1">(L122/J122)</f>
        <v>6.3917525773195871E-2</v>
      </c>
      <c r="N122" s="18">
        <v>93</v>
      </c>
      <c r="O122" s="18" t="str">
        <f t="shared" ca="1" si="8"/>
        <v>Understocked</v>
      </c>
      <c r="P122" s="11" t="str">
        <f ca="1">RANDBETWEEN(30,76)&amp;"%"</f>
        <v>41%</v>
      </c>
      <c r="Q122" s="18">
        <f>PRODUCT(K122,N122)</f>
        <v>47988</v>
      </c>
    </row>
    <row r="123" spans="1:17" x14ac:dyDescent="0.45">
      <c r="A123" s="6" t="s">
        <v>522</v>
      </c>
      <c r="B123" s="9" t="s">
        <v>514</v>
      </c>
      <c r="C123" s="6" t="s">
        <v>62</v>
      </c>
      <c r="D123" s="18">
        <f ca="1">RANDBETWEEN(500,1000)</f>
        <v>966</v>
      </c>
      <c r="E123" s="19">
        <v>45609</v>
      </c>
      <c r="F123" s="18">
        <v>88</v>
      </c>
      <c r="G123" s="20">
        <v>0.52</v>
      </c>
      <c r="H123" s="18">
        <f t="shared" ca="1" si="6"/>
        <v>75</v>
      </c>
      <c r="I123" s="18">
        <f t="shared" ca="1" si="7"/>
        <v>168</v>
      </c>
      <c r="J123" s="15">
        <f ca="1">K123-L123</f>
        <v>1682</v>
      </c>
      <c r="K123" s="15">
        <v>1720</v>
      </c>
      <c r="L123" s="15">
        <f ca="1">RANDBETWEEN(30,87)</f>
        <v>38</v>
      </c>
      <c r="M123" s="11">
        <f ca="1">(L123/J123)</f>
        <v>2.2592152199762187E-2</v>
      </c>
      <c r="N123" s="18">
        <v>78</v>
      </c>
      <c r="O123" s="18" t="str">
        <f t="shared" ca="1" si="8"/>
        <v>Optimal</v>
      </c>
      <c r="P123" s="11" t="str">
        <f ca="1">RANDBETWEEN(30,76)&amp;"%"</f>
        <v>53%</v>
      </c>
      <c r="Q123" s="18">
        <f>PRODUCT(K123,N123)</f>
        <v>134160</v>
      </c>
    </row>
    <row r="124" spans="1:17" x14ac:dyDescent="0.45">
      <c r="A124" s="6" t="s">
        <v>523</v>
      </c>
      <c r="B124" s="9" t="s">
        <v>514</v>
      </c>
      <c r="C124" s="6" t="s">
        <v>62</v>
      </c>
      <c r="D124" s="18">
        <f ca="1">RANDBETWEEN(500,1000)</f>
        <v>569</v>
      </c>
      <c r="E124" s="19">
        <v>45565</v>
      </c>
      <c r="F124" s="18">
        <v>80</v>
      </c>
      <c r="G124" s="20">
        <v>0.71</v>
      </c>
      <c r="H124" s="18">
        <f t="shared" ca="1" si="6"/>
        <v>54</v>
      </c>
      <c r="I124" s="18">
        <f t="shared" ca="1" si="7"/>
        <v>126</v>
      </c>
      <c r="J124" s="15">
        <f ca="1">K124-L124</f>
        <v>614</v>
      </c>
      <c r="K124" s="15">
        <v>688</v>
      </c>
      <c r="L124" s="15">
        <f ca="1">RANDBETWEEN(30,87)</f>
        <v>74</v>
      </c>
      <c r="M124" s="11">
        <f ca="1">(L124/J124)</f>
        <v>0.12052117263843648</v>
      </c>
      <c r="N124" s="18">
        <v>81</v>
      </c>
      <c r="O124" s="18" t="str">
        <f t="shared" ca="1" si="8"/>
        <v>Optimal</v>
      </c>
      <c r="P124" s="11" t="str">
        <f ca="1">RANDBETWEEN(30,76)&amp;"%"</f>
        <v>44%</v>
      </c>
      <c r="Q124" s="18">
        <f>PRODUCT(K124,N124)</f>
        <v>55728</v>
      </c>
    </row>
    <row r="125" spans="1:17" x14ac:dyDescent="0.45">
      <c r="A125" t="s">
        <v>159</v>
      </c>
      <c r="B125" t="s">
        <v>153</v>
      </c>
      <c r="C125" t="s">
        <v>62</v>
      </c>
      <c r="D125" s="18">
        <f ca="1">RANDBETWEEN(500,1000)</f>
        <v>894</v>
      </c>
      <c r="E125" s="1">
        <v>45558</v>
      </c>
      <c r="F125">
        <v>46</v>
      </c>
      <c r="G125" s="2">
        <v>0.83</v>
      </c>
      <c r="H125" s="18">
        <f t="shared" ca="1" si="6"/>
        <v>63</v>
      </c>
      <c r="I125" s="18">
        <f t="shared" ca="1" si="7"/>
        <v>78</v>
      </c>
      <c r="J125" s="4">
        <f ca="1">K125-L125</f>
        <v>2495</v>
      </c>
      <c r="K125" s="4">
        <v>2580</v>
      </c>
      <c r="L125" s="4">
        <f ca="1">RANDBETWEEN(30,87)</f>
        <v>85</v>
      </c>
      <c r="M125" s="3">
        <f ca="1">(L125/J125)</f>
        <v>3.406813627254509E-2</v>
      </c>
      <c r="N125">
        <v>64</v>
      </c>
      <c r="O125" s="18" t="str">
        <f t="shared" ca="1" si="8"/>
        <v>Understocked</v>
      </c>
      <c r="P125">
        <v>95</v>
      </c>
    </row>
    <row r="126" spans="1:17" x14ac:dyDescent="0.45">
      <c r="A126" s="6" t="s">
        <v>558</v>
      </c>
      <c r="B126" s="9" t="s">
        <v>559</v>
      </c>
      <c r="C126" s="6" t="s">
        <v>62</v>
      </c>
      <c r="D126" s="18">
        <f ca="1">RANDBETWEEN(500,1000)</f>
        <v>606</v>
      </c>
      <c r="E126" s="19">
        <v>45523</v>
      </c>
      <c r="F126" s="18">
        <v>77</v>
      </c>
      <c r="G126" s="20">
        <v>0.72</v>
      </c>
      <c r="H126" s="18">
        <f t="shared" ca="1" si="6"/>
        <v>67</v>
      </c>
      <c r="I126" s="18">
        <f t="shared" ca="1" si="7"/>
        <v>159</v>
      </c>
      <c r="J126" s="15">
        <f ca="1">K126-L126</f>
        <v>306</v>
      </c>
      <c r="K126" s="15">
        <v>387</v>
      </c>
      <c r="L126" s="15">
        <f ca="1">RANDBETWEEN(30,87)</f>
        <v>81</v>
      </c>
      <c r="M126" s="11">
        <f ca="1">(L126/J126)</f>
        <v>0.26470588235294118</v>
      </c>
      <c r="N126" s="18">
        <v>25</v>
      </c>
      <c r="O126" s="18" t="str">
        <f t="shared" ca="1" si="8"/>
        <v>Optimal</v>
      </c>
      <c r="P126" s="11" t="str">
        <f ca="1">RANDBETWEEN(30,76)&amp;"%"</f>
        <v>39%</v>
      </c>
      <c r="Q126" s="18">
        <f>PRODUCT(K126,N126)</f>
        <v>9675</v>
      </c>
    </row>
    <row r="127" spans="1:17" x14ac:dyDescent="0.45">
      <c r="A127" s="6" t="s">
        <v>560</v>
      </c>
      <c r="B127" s="9" t="s">
        <v>559</v>
      </c>
      <c r="C127" s="6" t="s">
        <v>62</v>
      </c>
      <c r="D127" s="18">
        <f ca="1">RANDBETWEEN(500,1000)</f>
        <v>602</v>
      </c>
      <c r="E127" s="19">
        <v>45567</v>
      </c>
      <c r="F127" s="18">
        <v>61</v>
      </c>
      <c r="G127" s="20">
        <v>0.57999999999999996</v>
      </c>
      <c r="H127" s="18">
        <f t="shared" ca="1" si="6"/>
        <v>67</v>
      </c>
      <c r="I127" s="18">
        <f t="shared" ca="1" si="7"/>
        <v>156</v>
      </c>
      <c r="J127" s="15">
        <f ca="1">K127-L127</f>
        <v>134</v>
      </c>
      <c r="K127" s="15">
        <v>215</v>
      </c>
      <c r="L127" s="15">
        <f ca="1">RANDBETWEEN(30,87)</f>
        <v>81</v>
      </c>
      <c r="M127" s="11">
        <f ca="1">(L127/J127)</f>
        <v>0.60447761194029848</v>
      </c>
      <c r="N127" s="18">
        <v>90</v>
      </c>
      <c r="O127" s="18" t="str">
        <f t="shared" ca="1" si="8"/>
        <v>Understocked</v>
      </c>
      <c r="P127" s="11" t="str">
        <f ca="1">RANDBETWEEN(30,76)&amp;"%"</f>
        <v>60%</v>
      </c>
      <c r="Q127" s="18">
        <f>PRODUCT(K127,N127)</f>
        <v>19350</v>
      </c>
    </row>
    <row r="128" spans="1:17" x14ac:dyDescent="0.45">
      <c r="A128" s="6" t="s">
        <v>561</v>
      </c>
      <c r="B128" s="9" t="s">
        <v>559</v>
      </c>
      <c r="C128" s="6" t="s">
        <v>62</v>
      </c>
      <c r="D128" s="18">
        <f ca="1">RANDBETWEEN(500,1000)</f>
        <v>813</v>
      </c>
      <c r="E128" s="19">
        <v>45570</v>
      </c>
      <c r="F128" s="18">
        <v>48</v>
      </c>
      <c r="G128" s="20">
        <v>0.79</v>
      </c>
      <c r="H128" s="18">
        <f t="shared" ca="1" si="6"/>
        <v>79</v>
      </c>
      <c r="I128" s="18">
        <f t="shared" ca="1" si="7"/>
        <v>149</v>
      </c>
      <c r="J128" s="15">
        <f ca="1">K128-L128</f>
        <v>114.5</v>
      </c>
      <c r="K128" s="15">
        <v>150.5</v>
      </c>
      <c r="L128" s="15">
        <f ca="1">RANDBETWEEN(30,87)</f>
        <v>36</v>
      </c>
      <c r="M128" s="11">
        <f ca="1">(L128/J128)</f>
        <v>0.31441048034934499</v>
      </c>
      <c r="N128" s="18">
        <v>70</v>
      </c>
      <c r="O128" s="18" t="str">
        <f t="shared" ca="1" si="8"/>
        <v>Understocked</v>
      </c>
      <c r="P128" s="11" t="str">
        <f ca="1">RANDBETWEEN(30,76)&amp;"%"</f>
        <v>58%</v>
      </c>
      <c r="Q128" s="18">
        <f>PRODUCT(K128,N128)</f>
        <v>10535</v>
      </c>
    </row>
    <row r="129" spans="1:17" x14ac:dyDescent="0.45">
      <c r="A129" s="6" t="s">
        <v>562</v>
      </c>
      <c r="B129" s="9" t="s">
        <v>559</v>
      </c>
      <c r="C129" s="6" t="s">
        <v>62</v>
      </c>
      <c r="D129" s="18">
        <f ca="1">RANDBETWEEN(500,1000)</f>
        <v>540</v>
      </c>
      <c r="E129" s="19">
        <v>45513</v>
      </c>
      <c r="F129" s="18">
        <v>27</v>
      </c>
      <c r="G129" s="20">
        <v>0.55000000000000004</v>
      </c>
      <c r="H129" s="18">
        <f t="shared" ca="1" si="6"/>
        <v>54</v>
      </c>
      <c r="I129" s="18">
        <f t="shared" ca="1" si="7"/>
        <v>122</v>
      </c>
      <c r="J129" s="15">
        <f ca="1">K129-L129</f>
        <v>133.4</v>
      </c>
      <c r="K129" s="15">
        <v>163.4</v>
      </c>
      <c r="L129" s="15">
        <f ca="1">RANDBETWEEN(30,87)</f>
        <v>30</v>
      </c>
      <c r="M129" s="11">
        <f ca="1">(L129/J129)</f>
        <v>0.22488755622188905</v>
      </c>
      <c r="N129" s="18">
        <v>34</v>
      </c>
      <c r="O129" s="18" t="str">
        <f t="shared" ca="1" si="8"/>
        <v>Understocked</v>
      </c>
      <c r="P129" s="11" t="str">
        <f ca="1">RANDBETWEEN(30,76)&amp;"%"</f>
        <v>57%</v>
      </c>
      <c r="Q129" s="18">
        <f>PRODUCT(K129,N129)</f>
        <v>5555.6</v>
      </c>
    </row>
    <row r="130" spans="1:17" x14ac:dyDescent="0.45">
      <c r="A130" s="6" t="s">
        <v>563</v>
      </c>
      <c r="B130" s="9" t="s">
        <v>559</v>
      </c>
      <c r="C130" s="6" t="s">
        <v>62</v>
      </c>
      <c r="D130" s="18">
        <f ca="1">RANDBETWEEN(500,1000)</f>
        <v>703</v>
      </c>
      <c r="E130" s="19">
        <v>45710</v>
      </c>
      <c r="F130" s="18">
        <v>20</v>
      </c>
      <c r="G130" s="20">
        <v>0.55000000000000004</v>
      </c>
      <c r="H130" s="18">
        <f t="shared" ca="1" si="6"/>
        <v>50</v>
      </c>
      <c r="I130" s="18">
        <f t="shared" ca="1" si="7"/>
        <v>130</v>
      </c>
      <c r="J130" s="15">
        <f ca="1">K130-L130</f>
        <v>933.6</v>
      </c>
      <c r="K130" s="15">
        <v>997.6</v>
      </c>
      <c r="L130" s="15">
        <f ca="1">RANDBETWEEN(30,87)</f>
        <v>64</v>
      </c>
      <c r="M130" s="11">
        <f ca="1">(L130/J130)</f>
        <v>6.8551842330762641E-2</v>
      </c>
      <c r="N130" s="18">
        <v>46</v>
      </c>
      <c r="O130" s="18" t="str">
        <f t="shared" ca="1" si="8"/>
        <v>Understocked</v>
      </c>
      <c r="P130" s="11" t="str">
        <f ca="1">RANDBETWEEN(30,76)&amp;"%"</f>
        <v>39%</v>
      </c>
      <c r="Q130" s="18">
        <f>PRODUCT(K130,N130)</f>
        <v>45889.599999999999</v>
      </c>
    </row>
    <row r="131" spans="1:17" x14ac:dyDescent="0.45">
      <c r="A131" s="6" t="s">
        <v>564</v>
      </c>
      <c r="B131" s="9" t="s">
        <v>559</v>
      </c>
      <c r="C131" s="6" t="s">
        <v>62</v>
      </c>
      <c r="D131" s="18">
        <f ca="1">RANDBETWEEN(500,1000)</f>
        <v>780</v>
      </c>
      <c r="E131" s="19">
        <v>45530</v>
      </c>
      <c r="F131" s="18">
        <v>59</v>
      </c>
      <c r="G131" s="20">
        <v>0.5</v>
      </c>
      <c r="H131" s="18">
        <f t="shared" ca="1" si="6"/>
        <v>67</v>
      </c>
      <c r="I131" s="18">
        <f t="shared" ca="1" si="7"/>
        <v>152</v>
      </c>
      <c r="J131" s="15">
        <f ca="1">K131-L131</f>
        <v>140</v>
      </c>
      <c r="K131" s="15">
        <v>172</v>
      </c>
      <c r="L131" s="15">
        <f ca="1">RANDBETWEEN(30,87)</f>
        <v>32</v>
      </c>
      <c r="M131" s="11">
        <f ca="1">(L131/J131)</f>
        <v>0.22857142857142856</v>
      </c>
      <c r="N131" s="18">
        <v>69</v>
      </c>
      <c r="O131" s="18" t="str">
        <f t="shared" ca="1" si="8"/>
        <v>Understocked</v>
      </c>
      <c r="P131" s="11" t="str">
        <f ca="1">RANDBETWEEN(30,76)&amp;"%"</f>
        <v>39%</v>
      </c>
      <c r="Q131" s="18">
        <f>PRODUCT(K131,N131)</f>
        <v>11868</v>
      </c>
    </row>
    <row r="132" spans="1:17" x14ac:dyDescent="0.45">
      <c r="A132" s="6" t="s">
        <v>859</v>
      </c>
      <c r="B132" s="9" t="s">
        <v>860</v>
      </c>
      <c r="C132" s="6" t="s">
        <v>62</v>
      </c>
      <c r="D132" s="18">
        <f ca="1">RANDBETWEEN(500,1000)</f>
        <v>539</v>
      </c>
      <c r="E132" s="19">
        <v>45532</v>
      </c>
      <c r="F132" s="18">
        <v>14</v>
      </c>
      <c r="G132" s="20">
        <v>0.88</v>
      </c>
      <c r="H132" s="18">
        <f t="shared" ca="1" si="6"/>
        <v>72</v>
      </c>
      <c r="I132" s="18">
        <f t="shared" ca="1" si="7"/>
        <v>74</v>
      </c>
      <c r="J132" s="15">
        <f ca="1">K132-L132</f>
        <v>259</v>
      </c>
      <c r="K132" s="15">
        <v>344</v>
      </c>
      <c r="L132" s="15">
        <f ca="1">RANDBETWEEN(30,87)</f>
        <v>85</v>
      </c>
      <c r="M132" s="11">
        <f ca="1">(L132/J132)</f>
        <v>0.3281853281853282</v>
      </c>
      <c r="N132" s="18">
        <v>32</v>
      </c>
      <c r="O132" s="18" t="str">
        <f t="shared" ca="1" si="8"/>
        <v>Understocked</v>
      </c>
      <c r="P132" s="11" t="str">
        <f ca="1">RANDBETWEEN(30,76)&amp;"%"</f>
        <v>76%</v>
      </c>
      <c r="Q132" s="18">
        <f>PRODUCT(K132,N132)</f>
        <v>11008</v>
      </c>
    </row>
    <row r="133" spans="1:17" x14ac:dyDescent="0.45">
      <c r="A133" s="6" t="s">
        <v>861</v>
      </c>
      <c r="B133" s="9" t="s">
        <v>860</v>
      </c>
      <c r="C133" s="6" t="s">
        <v>62</v>
      </c>
      <c r="D133" s="18">
        <f ca="1">RANDBETWEEN(500,1000)</f>
        <v>748</v>
      </c>
      <c r="E133" s="19">
        <v>45709</v>
      </c>
      <c r="F133" s="18">
        <v>68</v>
      </c>
      <c r="G133" s="20">
        <v>0.64</v>
      </c>
      <c r="H133" s="18">
        <f t="shared" ca="1" si="6"/>
        <v>57</v>
      </c>
      <c r="I133" s="18">
        <f t="shared" ca="1" si="7"/>
        <v>127</v>
      </c>
      <c r="J133" s="15">
        <f ca="1">K133-L133</f>
        <v>0</v>
      </c>
      <c r="K133" s="15">
        <v>86</v>
      </c>
      <c r="L133" s="15">
        <f ca="1">RANDBETWEEN(30,87)</f>
        <v>86</v>
      </c>
      <c r="M133" s="11" t="e">
        <f ca="1">(L133/J133)</f>
        <v>#DIV/0!</v>
      </c>
      <c r="N133" s="18">
        <v>39</v>
      </c>
      <c r="O133" s="18" t="str">
        <f t="shared" ca="1" si="8"/>
        <v>Optimal</v>
      </c>
      <c r="P133" s="11" t="str">
        <f ca="1">RANDBETWEEN(30,76)&amp;"%"</f>
        <v>67%</v>
      </c>
      <c r="Q133" s="18">
        <f>PRODUCT(K133,N133)</f>
        <v>3354</v>
      </c>
    </row>
    <row r="134" spans="1:17" x14ac:dyDescent="0.45">
      <c r="A134" s="6" t="s">
        <v>862</v>
      </c>
      <c r="B134" s="9" t="s">
        <v>860</v>
      </c>
      <c r="C134" s="6" t="s">
        <v>62</v>
      </c>
      <c r="D134" s="18">
        <f ca="1">RANDBETWEEN(500,1000)</f>
        <v>663</v>
      </c>
      <c r="E134" s="19">
        <v>45533</v>
      </c>
      <c r="F134" s="18">
        <v>62</v>
      </c>
      <c r="G134" s="20">
        <v>0.6</v>
      </c>
      <c r="H134" s="18">
        <f t="shared" ca="1" si="6"/>
        <v>62</v>
      </c>
      <c r="I134" s="18">
        <f t="shared" ca="1" si="7"/>
        <v>170</v>
      </c>
      <c r="J134" s="15">
        <f ca="1">K134-L134</f>
        <v>364</v>
      </c>
      <c r="K134" s="15">
        <v>430</v>
      </c>
      <c r="L134" s="15">
        <f ca="1">RANDBETWEEN(30,87)</f>
        <v>66</v>
      </c>
      <c r="M134" s="11">
        <f ca="1">(L134/J134)</f>
        <v>0.18131868131868131</v>
      </c>
      <c r="N134" s="18">
        <v>62</v>
      </c>
      <c r="O134" s="18" t="str">
        <f t="shared" ca="1" si="8"/>
        <v>Optimal</v>
      </c>
      <c r="P134" s="11" t="str">
        <f ca="1">RANDBETWEEN(30,76)&amp;"%"</f>
        <v>59%</v>
      </c>
      <c r="Q134" s="18">
        <f>PRODUCT(K134,N134)</f>
        <v>26660</v>
      </c>
    </row>
    <row r="135" spans="1:17" x14ac:dyDescent="0.45">
      <c r="A135" s="6" t="s">
        <v>863</v>
      </c>
      <c r="B135" s="9" t="s">
        <v>860</v>
      </c>
      <c r="C135" s="6" t="s">
        <v>62</v>
      </c>
      <c r="D135" s="18">
        <f ca="1">RANDBETWEEN(500,1000)</f>
        <v>505</v>
      </c>
      <c r="E135" s="19">
        <v>45489</v>
      </c>
      <c r="F135" s="18">
        <v>59</v>
      </c>
      <c r="G135" s="20">
        <v>0.8</v>
      </c>
      <c r="H135" s="18">
        <f t="shared" ca="1" si="6"/>
        <v>58</v>
      </c>
      <c r="I135" s="18">
        <f t="shared" ca="1" si="7"/>
        <v>126</v>
      </c>
      <c r="J135" s="15">
        <f ca="1">K135-L135</f>
        <v>92</v>
      </c>
      <c r="K135" s="15">
        <v>172</v>
      </c>
      <c r="L135" s="15">
        <f ca="1">RANDBETWEEN(30,87)</f>
        <v>80</v>
      </c>
      <c r="M135" s="11">
        <f ca="1">(L135/J135)</f>
        <v>0.86956521739130432</v>
      </c>
      <c r="N135" s="18">
        <v>90</v>
      </c>
      <c r="O135" s="18" t="str">
        <f t="shared" ca="1" si="8"/>
        <v>Optimal</v>
      </c>
      <c r="P135" s="11" t="str">
        <f ca="1">RANDBETWEEN(30,76)&amp;"%"</f>
        <v>70%</v>
      </c>
      <c r="Q135" s="18">
        <f>PRODUCT(K135,N135)</f>
        <v>15480</v>
      </c>
    </row>
    <row r="136" spans="1:17" x14ac:dyDescent="0.45">
      <c r="A136" s="6" t="s">
        <v>864</v>
      </c>
      <c r="B136" s="9" t="s">
        <v>860</v>
      </c>
      <c r="C136" s="6" t="s">
        <v>62</v>
      </c>
      <c r="D136" s="18">
        <f ca="1">RANDBETWEEN(500,1000)</f>
        <v>684</v>
      </c>
      <c r="E136" s="19">
        <v>45632</v>
      </c>
      <c r="F136" s="18">
        <v>42</v>
      </c>
      <c r="G136" s="20">
        <v>0.65</v>
      </c>
      <c r="H136" s="18">
        <f t="shared" ca="1" si="6"/>
        <v>66</v>
      </c>
      <c r="I136" s="18">
        <f t="shared" ca="1" si="7"/>
        <v>169</v>
      </c>
      <c r="J136" s="15">
        <f ca="1">K136-L136</f>
        <v>225</v>
      </c>
      <c r="K136" s="15">
        <v>258</v>
      </c>
      <c r="L136" s="15">
        <f ca="1">RANDBETWEEN(30,87)</f>
        <v>33</v>
      </c>
      <c r="M136" s="11">
        <f ca="1">(L136/J136)</f>
        <v>0.14666666666666667</v>
      </c>
      <c r="N136" s="18">
        <v>34</v>
      </c>
      <c r="O136" s="18" t="str">
        <f t="shared" ca="1" si="8"/>
        <v>Understocked</v>
      </c>
      <c r="P136" s="11" t="str">
        <f ca="1">RANDBETWEEN(30,76)&amp;"%"</f>
        <v>61%</v>
      </c>
      <c r="Q136" s="18">
        <f>PRODUCT(K136,N136)</f>
        <v>8772</v>
      </c>
    </row>
    <row r="137" spans="1:17" x14ac:dyDescent="0.45">
      <c r="A137" s="6" t="s">
        <v>865</v>
      </c>
      <c r="B137" s="9" t="s">
        <v>860</v>
      </c>
      <c r="C137" s="6" t="s">
        <v>62</v>
      </c>
      <c r="D137" s="18">
        <f ca="1">RANDBETWEEN(500,1000)</f>
        <v>869</v>
      </c>
      <c r="E137" s="19">
        <v>45691</v>
      </c>
      <c r="F137" s="18">
        <v>74</v>
      </c>
      <c r="G137" s="20">
        <v>0.52</v>
      </c>
      <c r="H137" s="18">
        <f t="shared" ca="1" si="6"/>
        <v>54</v>
      </c>
      <c r="I137" s="18">
        <f t="shared" ca="1" si="7"/>
        <v>197</v>
      </c>
      <c r="J137" s="15">
        <f ca="1">K137-L137</f>
        <v>267</v>
      </c>
      <c r="K137" s="15">
        <v>301</v>
      </c>
      <c r="L137" s="15">
        <f ca="1">RANDBETWEEN(30,87)</f>
        <v>34</v>
      </c>
      <c r="M137" s="11">
        <f ca="1">(L137/J137)</f>
        <v>0.12734082397003746</v>
      </c>
      <c r="N137" s="18">
        <v>37</v>
      </c>
      <c r="O137" s="18" t="str">
        <f t="shared" ca="1" si="8"/>
        <v>Optimal</v>
      </c>
      <c r="P137" s="11" t="str">
        <f ca="1">RANDBETWEEN(30,76)&amp;"%"</f>
        <v>53%</v>
      </c>
      <c r="Q137" s="18">
        <f>PRODUCT(K137,N137)</f>
        <v>11137</v>
      </c>
    </row>
    <row r="138" spans="1:17" x14ac:dyDescent="0.45">
      <c r="A138" s="6" t="s">
        <v>866</v>
      </c>
      <c r="B138" s="9" t="s">
        <v>860</v>
      </c>
      <c r="C138" s="6" t="s">
        <v>62</v>
      </c>
      <c r="D138" s="18">
        <f ca="1">RANDBETWEEN(500,1000)</f>
        <v>727</v>
      </c>
      <c r="E138" s="19">
        <v>45468</v>
      </c>
      <c r="F138" s="18">
        <v>20</v>
      </c>
      <c r="G138" s="20">
        <v>0.78</v>
      </c>
      <c r="H138" s="18">
        <f t="shared" ca="1" si="6"/>
        <v>61</v>
      </c>
      <c r="I138" s="18">
        <f t="shared" ca="1" si="7"/>
        <v>200</v>
      </c>
      <c r="J138" s="15">
        <f ca="1">K138-L138</f>
        <v>278</v>
      </c>
      <c r="K138" s="15">
        <v>344</v>
      </c>
      <c r="L138" s="15">
        <f ca="1">RANDBETWEEN(30,87)</f>
        <v>66</v>
      </c>
      <c r="M138" s="11">
        <f ca="1">(L138/J138)</f>
        <v>0.23741007194244604</v>
      </c>
      <c r="N138" s="18">
        <v>72</v>
      </c>
      <c r="O138" s="18" t="str">
        <f t="shared" ca="1" si="8"/>
        <v>Understocked</v>
      </c>
      <c r="P138" s="11" t="str">
        <f ca="1">RANDBETWEEN(30,76)&amp;"%"</f>
        <v>76%</v>
      </c>
      <c r="Q138" s="18">
        <f>PRODUCT(K138,N138)</f>
        <v>24768</v>
      </c>
    </row>
    <row r="139" spans="1:17" x14ac:dyDescent="0.45">
      <c r="A139" s="6" t="s">
        <v>1077</v>
      </c>
      <c r="B139" s="9" t="s">
        <v>1078</v>
      </c>
      <c r="C139" s="6" t="s">
        <v>62</v>
      </c>
      <c r="D139" s="18">
        <f ca="1">RANDBETWEEN(500,1000)</f>
        <v>572</v>
      </c>
      <c r="E139" s="19">
        <v>45592</v>
      </c>
      <c r="F139" s="18">
        <v>91</v>
      </c>
      <c r="G139" s="20">
        <v>0.8</v>
      </c>
      <c r="H139" s="18">
        <f t="shared" ca="1" si="6"/>
        <v>76</v>
      </c>
      <c r="I139" s="18">
        <f t="shared" ca="1" si="7"/>
        <v>144</v>
      </c>
      <c r="J139" s="15">
        <f ca="1">K139-L139</f>
        <v>328</v>
      </c>
      <c r="K139" s="15">
        <v>387</v>
      </c>
      <c r="L139" s="15">
        <f ca="1">RANDBETWEEN(30,87)</f>
        <v>59</v>
      </c>
      <c r="M139" s="11">
        <f ca="1">(L139/J139)</f>
        <v>0.1798780487804878</v>
      </c>
      <c r="N139" s="18">
        <v>63</v>
      </c>
      <c r="O139" s="18" t="str">
        <f t="shared" ca="1" si="8"/>
        <v>Optimal</v>
      </c>
      <c r="P139" s="11" t="str">
        <f ca="1">RANDBETWEEN(30,76)&amp;"%"</f>
        <v>31%</v>
      </c>
      <c r="Q139" s="18">
        <f>PRODUCT(K139,N139)</f>
        <v>24381</v>
      </c>
    </row>
    <row r="140" spans="1:17" x14ac:dyDescent="0.45">
      <c r="A140" s="6" t="s">
        <v>1079</v>
      </c>
      <c r="B140" s="9" t="s">
        <v>1078</v>
      </c>
      <c r="C140" s="6" t="s">
        <v>62</v>
      </c>
      <c r="D140" s="18">
        <f ca="1">RANDBETWEEN(500,1000)</f>
        <v>619</v>
      </c>
      <c r="E140" s="19">
        <v>45351</v>
      </c>
      <c r="F140" s="18">
        <v>99</v>
      </c>
      <c r="G140" s="20">
        <v>0.39</v>
      </c>
      <c r="H140" s="18">
        <f t="shared" ca="1" si="6"/>
        <v>52</v>
      </c>
      <c r="I140" s="18">
        <f t="shared" ca="1" si="7"/>
        <v>152</v>
      </c>
      <c r="J140" s="15">
        <f ca="1">K140-L140</f>
        <v>111</v>
      </c>
      <c r="K140" s="15">
        <v>172</v>
      </c>
      <c r="L140" s="15">
        <f ca="1">RANDBETWEEN(30,87)</f>
        <v>61</v>
      </c>
      <c r="M140" s="11">
        <f ca="1">(L140/J140)</f>
        <v>0.5495495495495496</v>
      </c>
      <c r="N140" s="18">
        <v>93</v>
      </c>
      <c r="O140" s="18" t="str">
        <f t="shared" ca="1" si="8"/>
        <v>Optimal</v>
      </c>
      <c r="P140" s="11" t="str">
        <f ca="1">RANDBETWEEN(30,76)&amp;"%"</f>
        <v>37%</v>
      </c>
      <c r="Q140" s="18">
        <f>PRODUCT(K140,N140)</f>
        <v>15996</v>
      </c>
    </row>
    <row r="141" spans="1:17" x14ac:dyDescent="0.45">
      <c r="A141" s="6" t="s">
        <v>1080</v>
      </c>
      <c r="B141" s="9" t="s">
        <v>1078</v>
      </c>
      <c r="C141" s="6" t="s">
        <v>62</v>
      </c>
      <c r="D141" s="18">
        <f ca="1">RANDBETWEEN(500,1000)</f>
        <v>837</v>
      </c>
      <c r="E141" s="19">
        <v>45511</v>
      </c>
      <c r="F141" s="18">
        <v>36</v>
      </c>
      <c r="G141" s="20">
        <v>0.5</v>
      </c>
      <c r="H141" s="18">
        <f t="shared" ca="1" si="6"/>
        <v>56</v>
      </c>
      <c r="I141" s="18">
        <f t="shared" ca="1" si="7"/>
        <v>139</v>
      </c>
      <c r="J141" s="15">
        <f ca="1">K141-L141</f>
        <v>829</v>
      </c>
      <c r="K141" s="15">
        <v>860</v>
      </c>
      <c r="L141" s="15">
        <f ca="1">RANDBETWEEN(30,87)</f>
        <v>31</v>
      </c>
      <c r="M141" s="11">
        <f ca="1">(L141/J141)</f>
        <v>3.739445114595899E-2</v>
      </c>
      <c r="N141" s="18">
        <v>35</v>
      </c>
      <c r="O141" s="18" t="str">
        <f t="shared" ca="1" si="8"/>
        <v>Understocked</v>
      </c>
      <c r="P141" s="11" t="str">
        <f ca="1">RANDBETWEEN(30,76)&amp;"%"</f>
        <v>34%</v>
      </c>
      <c r="Q141" s="18">
        <f>PRODUCT(K141,N141)</f>
        <v>30100</v>
      </c>
    </row>
    <row r="142" spans="1:17" x14ac:dyDescent="0.45">
      <c r="A142" s="6" t="s">
        <v>1081</v>
      </c>
      <c r="B142" s="9" t="s">
        <v>1078</v>
      </c>
      <c r="C142" s="6" t="s">
        <v>62</v>
      </c>
      <c r="D142" s="18">
        <f ca="1">RANDBETWEEN(500,1000)</f>
        <v>614</v>
      </c>
      <c r="E142" s="19">
        <v>45349</v>
      </c>
      <c r="F142" s="18">
        <v>20</v>
      </c>
      <c r="G142" s="20">
        <v>0.85</v>
      </c>
      <c r="H142" s="18">
        <f t="shared" ca="1" si="6"/>
        <v>61</v>
      </c>
      <c r="I142" s="18">
        <f t="shared" ca="1" si="7"/>
        <v>122</v>
      </c>
      <c r="J142" s="15">
        <f ca="1">K142-L142</f>
        <v>303</v>
      </c>
      <c r="K142" s="15">
        <v>344</v>
      </c>
      <c r="L142" s="15">
        <f ca="1">RANDBETWEEN(30,87)</f>
        <v>41</v>
      </c>
      <c r="M142" s="11">
        <f ca="1">(L142/J142)</f>
        <v>0.13531353135313531</v>
      </c>
      <c r="N142" s="18">
        <v>73</v>
      </c>
      <c r="O142" s="18" t="str">
        <f t="shared" ca="1" si="8"/>
        <v>Understocked</v>
      </c>
      <c r="P142" s="11" t="str">
        <f ca="1">RANDBETWEEN(30,76)&amp;"%"</f>
        <v>47%</v>
      </c>
      <c r="Q142" s="18">
        <f>PRODUCT(K142,N142)</f>
        <v>25112</v>
      </c>
    </row>
    <row r="143" spans="1:17" x14ac:dyDescent="0.45">
      <c r="A143" s="6" t="s">
        <v>1082</v>
      </c>
      <c r="B143" s="9" t="s">
        <v>1078</v>
      </c>
      <c r="C143" s="6" t="s">
        <v>62</v>
      </c>
      <c r="D143" s="18">
        <f ca="1">RANDBETWEEN(500,1000)</f>
        <v>919</v>
      </c>
      <c r="E143" s="19">
        <v>45664</v>
      </c>
      <c r="F143" s="18">
        <v>81</v>
      </c>
      <c r="G143" s="20">
        <v>0.51</v>
      </c>
      <c r="H143" s="18">
        <f t="shared" ca="1" si="6"/>
        <v>54</v>
      </c>
      <c r="I143" s="18">
        <f t="shared" ca="1" si="7"/>
        <v>131</v>
      </c>
      <c r="J143" s="15">
        <f ca="1">K143-L143</f>
        <v>561</v>
      </c>
      <c r="K143" s="15">
        <v>645</v>
      </c>
      <c r="L143" s="15">
        <f ca="1">RANDBETWEEN(30,87)</f>
        <v>84</v>
      </c>
      <c r="M143" s="11">
        <f ca="1">(L143/J143)</f>
        <v>0.1497326203208556</v>
      </c>
      <c r="N143" s="18">
        <v>74</v>
      </c>
      <c r="O143" s="18" t="str">
        <f t="shared" ca="1" si="8"/>
        <v>Optimal</v>
      </c>
      <c r="P143" s="11" t="str">
        <f ca="1">RANDBETWEEN(30,76)&amp;"%"</f>
        <v>54%</v>
      </c>
      <c r="Q143" s="18">
        <f>PRODUCT(K143,N143)</f>
        <v>47730</v>
      </c>
    </row>
    <row r="144" spans="1:17" x14ac:dyDescent="0.45">
      <c r="A144" s="6" t="s">
        <v>1083</v>
      </c>
      <c r="B144" s="9" t="s">
        <v>1078</v>
      </c>
      <c r="C144" s="6" t="s">
        <v>62</v>
      </c>
      <c r="D144" s="18">
        <f ca="1">RANDBETWEEN(500,1000)</f>
        <v>758</v>
      </c>
      <c r="E144" s="19">
        <v>45470</v>
      </c>
      <c r="F144" s="18">
        <v>60</v>
      </c>
      <c r="G144" s="20">
        <v>0.9</v>
      </c>
      <c r="H144" s="18">
        <f t="shared" ca="1" si="6"/>
        <v>50</v>
      </c>
      <c r="I144" s="18">
        <f t="shared" ca="1" si="7"/>
        <v>185</v>
      </c>
      <c r="J144" s="15">
        <f ca="1">K144-L144</f>
        <v>221.39999999999998</v>
      </c>
      <c r="K144" s="15">
        <v>292.39999999999998</v>
      </c>
      <c r="L144" s="15">
        <f ca="1">RANDBETWEEN(30,87)</f>
        <v>71</v>
      </c>
      <c r="M144" s="11">
        <f ca="1">(L144/J144)</f>
        <v>0.32068654019873533</v>
      </c>
      <c r="N144" s="18">
        <v>43</v>
      </c>
      <c r="O144" s="18" t="str">
        <f t="shared" ca="1" si="8"/>
        <v>Optimal</v>
      </c>
      <c r="P144" s="11" t="str">
        <f ca="1">RANDBETWEEN(30,76)&amp;"%"</f>
        <v>60%</v>
      </c>
      <c r="Q144" s="18">
        <f>PRODUCT(K144,N144)</f>
        <v>12573.199999999999</v>
      </c>
    </row>
    <row r="145" spans="1:17" x14ac:dyDescent="0.45">
      <c r="A145" s="6" t="s">
        <v>1084</v>
      </c>
      <c r="B145" s="9" t="s">
        <v>1078</v>
      </c>
      <c r="C145" s="6" t="s">
        <v>62</v>
      </c>
      <c r="D145" s="18">
        <f ca="1">RANDBETWEEN(500,1000)</f>
        <v>862</v>
      </c>
      <c r="E145" s="19">
        <v>45490</v>
      </c>
      <c r="F145" s="18">
        <v>50</v>
      </c>
      <c r="G145" s="20">
        <v>0.83</v>
      </c>
      <c r="H145" s="18">
        <f t="shared" ca="1" si="6"/>
        <v>70</v>
      </c>
      <c r="I145" s="18">
        <f t="shared" ca="1" si="7"/>
        <v>88</v>
      </c>
      <c r="J145" s="15">
        <f ca="1">K145-L145</f>
        <v>325.8</v>
      </c>
      <c r="K145" s="15">
        <v>369.8</v>
      </c>
      <c r="L145" s="15">
        <f ca="1">RANDBETWEEN(30,87)</f>
        <v>44</v>
      </c>
      <c r="M145" s="11">
        <f ca="1">(L145/J145)</f>
        <v>0.13505217925107427</v>
      </c>
      <c r="N145" s="18">
        <v>29</v>
      </c>
      <c r="O145" s="18" t="str">
        <f t="shared" ca="1" si="8"/>
        <v>Understocked</v>
      </c>
      <c r="P145" s="11" t="str">
        <f ca="1">RANDBETWEEN(30,76)&amp;"%"</f>
        <v>55%</v>
      </c>
      <c r="Q145" s="18">
        <f>PRODUCT(K145,N145)</f>
        <v>10724.2</v>
      </c>
    </row>
    <row r="146" spans="1:17" x14ac:dyDescent="0.45">
      <c r="A146" s="6" t="s">
        <v>1085</v>
      </c>
      <c r="B146" s="9" t="s">
        <v>1078</v>
      </c>
      <c r="C146" s="6" t="s">
        <v>62</v>
      </c>
      <c r="D146" s="18">
        <f ca="1">RANDBETWEEN(500,1000)</f>
        <v>990</v>
      </c>
      <c r="E146" s="19">
        <v>45453</v>
      </c>
      <c r="F146" s="18">
        <v>62</v>
      </c>
      <c r="G146" s="20">
        <v>0.43</v>
      </c>
      <c r="H146" s="18">
        <f t="shared" ca="1" si="6"/>
        <v>61</v>
      </c>
      <c r="I146" s="18">
        <f t="shared" ca="1" si="7"/>
        <v>110</v>
      </c>
      <c r="J146" s="15">
        <f ca="1">K146-L146</f>
        <v>330</v>
      </c>
      <c r="K146" s="15">
        <v>387</v>
      </c>
      <c r="L146" s="15">
        <f ca="1">RANDBETWEEN(30,87)</f>
        <v>57</v>
      </c>
      <c r="M146" s="11">
        <f ca="1">(L146/J146)</f>
        <v>0.17272727272727273</v>
      </c>
      <c r="N146" s="18">
        <v>89</v>
      </c>
      <c r="O146" s="18" t="str">
        <f t="shared" ca="1" si="8"/>
        <v>Optimal</v>
      </c>
      <c r="P146" s="11" t="str">
        <f ca="1">RANDBETWEEN(30,76)&amp;"%"</f>
        <v>51%</v>
      </c>
      <c r="Q146" s="18">
        <f>PRODUCT(K146,N146)</f>
        <v>34443</v>
      </c>
    </row>
    <row r="147" spans="1:17" x14ac:dyDescent="0.45">
      <c r="A147" s="6" t="s">
        <v>1086</v>
      </c>
      <c r="B147" s="9" t="s">
        <v>1078</v>
      </c>
      <c r="C147" s="6" t="s">
        <v>62</v>
      </c>
      <c r="D147" s="18">
        <f ca="1">RANDBETWEEN(500,1000)</f>
        <v>887</v>
      </c>
      <c r="E147" s="19">
        <v>45701</v>
      </c>
      <c r="F147" s="18">
        <v>58</v>
      </c>
      <c r="G147" s="20">
        <v>0.32</v>
      </c>
      <c r="H147" s="18">
        <f t="shared" ca="1" si="6"/>
        <v>63</v>
      </c>
      <c r="I147" s="18">
        <f t="shared" ca="1" si="7"/>
        <v>75</v>
      </c>
      <c r="J147" s="15">
        <f ca="1">K147-L147</f>
        <v>465</v>
      </c>
      <c r="K147" s="15">
        <v>516</v>
      </c>
      <c r="L147" s="15">
        <f ca="1">RANDBETWEEN(30,87)</f>
        <v>51</v>
      </c>
      <c r="M147" s="11">
        <f ca="1">(L147/J147)</f>
        <v>0.10967741935483871</v>
      </c>
      <c r="N147" s="18">
        <v>85</v>
      </c>
      <c r="O147" s="18" t="str">
        <f t="shared" ca="1" si="8"/>
        <v>Understocked</v>
      </c>
      <c r="P147" s="11" t="str">
        <f ca="1">RANDBETWEEN(30,76)&amp;"%"</f>
        <v>75%</v>
      </c>
      <c r="Q147" s="18">
        <f>PRODUCT(K147,N147)</f>
        <v>43860</v>
      </c>
    </row>
    <row r="148" spans="1:17" x14ac:dyDescent="0.45">
      <c r="A148" s="6" t="s">
        <v>1087</v>
      </c>
      <c r="B148" s="9" t="s">
        <v>1078</v>
      </c>
      <c r="C148" s="6" t="s">
        <v>62</v>
      </c>
      <c r="D148" s="18">
        <f ca="1">RANDBETWEEN(500,1000)</f>
        <v>862</v>
      </c>
      <c r="E148" s="19">
        <v>45509</v>
      </c>
      <c r="F148" s="18">
        <v>35</v>
      </c>
      <c r="G148" s="20">
        <v>0.34</v>
      </c>
      <c r="H148" s="18">
        <f t="shared" ca="1" si="6"/>
        <v>69</v>
      </c>
      <c r="I148" s="18">
        <f t="shared" ca="1" si="7"/>
        <v>99</v>
      </c>
      <c r="J148" s="15">
        <f ca="1">K148-L148</f>
        <v>180</v>
      </c>
      <c r="K148" s="15">
        <v>258</v>
      </c>
      <c r="L148" s="15">
        <f ca="1">RANDBETWEEN(30,87)</f>
        <v>78</v>
      </c>
      <c r="M148" s="11">
        <f ca="1">(L148/J148)</f>
        <v>0.43333333333333335</v>
      </c>
      <c r="N148" s="18">
        <v>53</v>
      </c>
      <c r="O148" s="18" t="str">
        <f t="shared" ca="1" si="8"/>
        <v>Understocked</v>
      </c>
      <c r="P148" s="11" t="str">
        <f ca="1">RANDBETWEEN(30,76)&amp;"%"</f>
        <v>73%</v>
      </c>
      <c r="Q148" s="18">
        <f>PRODUCT(K148,N148)</f>
        <v>13674</v>
      </c>
    </row>
    <row r="149" spans="1:17" x14ac:dyDescent="0.45">
      <c r="A149" t="s">
        <v>867</v>
      </c>
      <c r="B149" t="s">
        <v>860</v>
      </c>
      <c r="C149" t="s">
        <v>62</v>
      </c>
      <c r="D149" s="18">
        <f ca="1">RANDBETWEEN(500,1000)</f>
        <v>735</v>
      </c>
      <c r="E149" s="1">
        <v>45678</v>
      </c>
      <c r="F149">
        <v>59</v>
      </c>
      <c r="G149" s="2">
        <v>0.75</v>
      </c>
      <c r="H149" s="18">
        <f t="shared" ca="1" si="6"/>
        <v>56</v>
      </c>
      <c r="I149" s="18">
        <f t="shared" ca="1" si="7"/>
        <v>183</v>
      </c>
      <c r="J149" s="4">
        <f ca="1">K149-L149</f>
        <v>1504</v>
      </c>
      <c r="K149" s="4">
        <v>1548</v>
      </c>
      <c r="L149" s="4">
        <f ca="1">RANDBETWEEN(30,87)</f>
        <v>44</v>
      </c>
      <c r="M149" s="3">
        <f ca="1">(L149/J149)</f>
        <v>2.9255319148936171E-2</v>
      </c>
      <c r="N149">
        <v>48</v>
      </c>
      <c r="O149" s="18" t="str">
        <f t="shared" ca="1" si="8"/>
        <v>Optimal</v>
      </c>
      <c r="P149">
        <v>65</v>
      </c>
    </row>
    <row r="150" spans="1:17" x14ac:dyDescent="0.45">
      <c r="A150" s="6" t="s">
        <v>210</v>
      </c>
      <c r="B150" s="9" t="s">
        <v>211</v>
      </c>
      <c r="C150" s="6" t="s">
        <v>212</v>
      </c>
      <c r="D150" s="18">
        <f ca="1">RANDBETWEEN(500,1000)</f>
        <v>920</v>
      </c>
      <c r="E150" s="19">
        <v>45680</v>
      </c>
      <c r="F150" s="18">
        <v>21</v>
      </c>
      <c r="G150" s="20">
        <v>0.75</v>
      </c>
      <c r="H150" s="18">
        <f t="shared" ca="1" si="6"/>
        <v>69</v>
      </c>
      <c r="I150" s="18">
        <f t="shared" ca="1" si="7"/>
        <v>131</v>
      </c>
      <c r="J150" s="15">
        <f ca="1">K150-L150</f>
        <v>74</v>
      </c>
      <c r="K150" s="15">
        <v>129</v>
      </c>
      <c r="L150" s="15">
        <f ca="1">RANDBETWEEN(30,87)</f>
        <v>55</v>
      </c>
      <c r="M150" s="11">
        <f ca="1">(L150/J150)</f>
        <v>0.7432432432432432</v>
      </c>
      <c r="N150" s="18">
        <v>64</v>
      </c>
      <c r="O150" s="18" t="str">
        <f t="shared" ca="1" si="8"/>
        <v>Understocked</v>
      </c>
      <c r="P150" s="11" t="str">
        <f ca="1">RANDBETWEEN(30,76)&amp;"%"</f>
        <v>72%</v>
      </c>
      <c r="Q150" s="18">
        <f>PRODUCT(K150,N150)</f>
        <v>8256</v>
      </c>
    </row>
    <row r="151" spans="1:17" x14ac:dyDescent="0.45">
      <c r="A151" s="6" t="s">
        <v>213</v>
      </c>
      <c r="B151" s="9" t="s">
        <v>211</v>
      </c>
      <c r="C151" s="6" t="s">
        <v>212</v>
      </c>
      <c r="D151" s="18">
        <f ca="1">RANDBETWEEN(500,1000)</f>
        <v>911</v>
      </c>
      <c r="E151" s="19">
        <v>45460</v>
      </c>
      <c r="F151" s="18">
        <v>36</v>
      </c>
      <c r="G151" s="20">
        <v>0.36</v>
      </c>
      <c r="H151" s="18">
        <f t="shared" ca="1" si="6"/>
        <v>79</v>
      </c>
      <c r="I151" s="18">
        <f t="shared" ca="1" si="7"/>
        <v>161</v>
      </c>
      <c r="J151" s="15">
        <f ca="1">K151-L151</f>
        <v>334.5</v>
      </c>
      <c r="K151" s="15">
        <v>408.5</v>
      </c>
      <c r="L151" s="15">
        <f ca="1">RANDBETWEEN(30,87)</f>
        <v>74</v>
      </c>
      <c r="M151" s="11">
        <f ca="1">(L151/J151)</f>
        <v>0.22122571001494767</v>
      </c>
      <c r="N151" s="18">
        <v>26</v>
      </c>
      <c r="O151" s="18" t="str">
        <f t="shared" ca="1" si="8"/>
        <v>Understocked</v>
      </c>
      <c r="P151" s="11" t="str">
        <f ca="1">RANDBETWEEN(30,76)&amp;"%"</f>
        <v>33%</v>
      </c>
      <c r="Q151" s="18">
        <f>PRODUCT(K151,N151)</f>
        <v>10621</v>
      </c>
    </row>
    <row r="152" spans="1:17" x14ac:dyDescent="0.45">
      <c r="A152" s="6" t="s">
        <v>214</v>
      </c>
      <c r="B152" s="9" t="s">
        <v>211</v>
      </c>
      <c r="C152" s="6" t="s">
        <v>212</v>
      </c>
      <c r="D152" s="18">
        <f ca="1">RANDBETWEEN(500,1000)</f>
        <v>582</v>
      </c>
      <c r="E152" s="19">
        <v>45475</v>
      </c>
      <c r="F152" s="18">
        <v>48</v>
      </c>
      <c r="G152" s="20">
        <v>0.74</v>
      </c>
      <c r="H152" s="18">
        <f t="shared" ca="1" si="6"/>
        <v>50</v>
      </c>
      <c r="I152" s="18">
        <f t="shared" ca="1" si="7"/>
        <v>176</v>
      </c>
      <c r="J152" s="15">
        <f ca="1">K152-L152</f>
        <v>214</v>
      </c>
      <c r="K152" s="15">
        <v>301</v>
      </c>
      <c r="L152" s="15">
        <f ca="1">RANDBETWEEN(30,87)</f>
        <v>87</v>
      </c>
      <c r="M152" s="11">
        <f ca="1">(L152/J152)</f>
        <v>0.40654205607476634</v>
      </c>
      <c r="N152" s="18">
        <v>95</v>
      </c>
      <c r="O152" s="18" t="str">
        <f t="shared" ca="1" si="8"/>
        <v>Understocked</v>
      </c>
      <c r="P152" s="11" t="str">
        <f ca="1">RANDBETWEEN(30,76)&amp;"%"</f>
        <v>72%</v>
      </c>
      <c r="Q152" s="18">
        <f>PRODUCT(K152,N152)</f>
        <v>28595</v>
      </c>
    </row>
    <row r="153" spans="1:17" x14ac:dyDescent="0.45">
      <c r="A153" s="6" t="s">
        <v>215</v>
      </c>
      <c r="B153" s="9" t="s">
        <v>211</v>
      </c>
      <c r="C153" s="6" t="s">
        <v>212</v>
      </c>
      <c r="D153" s="18">
        <f ca="1">RANDBETWEEN(500,1000)</f>
        <v>902</v>
      </c>
      <c r="E153" s="19">
        <v>45586</v>
      </c>
      <c r="F153" s="18">
        <v>51</v>
      </c>
      <c r="G153" s="20">
        <v>0.7</v>
      </c>
      <c r="H153" s="18">
        <f t="shared" ca="1" si="6"/>
        <v>64</v>
      </c>
      <c r="I153" s="18">
        <f t="shared" ca="1" si="7"/>
        <v>177</v>
      </c>
      <c r="J153" s="15">
        <f ca="1">K153-L153</f>
        <v>279</v>
      </c>
      <c r="K153" s="15">
        <v>344</v>
      </c>
      <c r="L153" s="15">
        <f ca="1">RANDBETWEEN(30,87)</f>
        <v>65</v>
      </c>
      <c r="M153" s="11">
        <f ca="1">(L153/J153)</f>
        <v>0.23297491039426524</v>
      </c>
      <c r="N153" s="18">
        <v>40</v>
      </c>
      <c r="O153" s="18" t="str">
        <f t="shared" ca="1" si="8"/>
        <v>Understocked</v>
      </c>
      <c r="P153" s="11" t="str">
        <f ca="1">RANDBETWEEN(30,76)&amp;"%"</f>
        <v>42%</v>
      </c>
      <c r="Q153" s="18">
        <f>PRODUCT(K153,N153)</f>
        <v>13760</v>
      </c>
    </row>
    <row r="154" spans="1:17" x14ac:dyDescent="0.45">
      <c r="A154" s="6" t="s">
        <v>216</v>
      </c>
      <c r="B154" s="9" t="s">
        <v>211</v>
      </c>
      <c r="C154" s="6" t="s">
        <v>212</v>
      </c>
      <c r="D154" s="18">
        <f ca="1">RANDBETWEEN(500,1000)</f>
        <v>810</v>
      </c>
      <c r="E154" s="19">
        <v>45473</v>
      </c>
      <c r="F154" s="18">
        <v>85</v>
      </c>
      <c r="G154" s="20">
        <v>0.64</v>
      </c>
      <c r="H154" s="18">
        <f t="shared" ca="1" si="6"/>
        <v>59</v>
      </c>
      <c r="I154" s="18">
        <f t="shared" ca="1" si="7"/>
        <v>72</v>
      </c>
      <c r="J154" s="15">
        <f ca="1">K154-L154</f>
        <v>170.1</v>
      </c>
      <c r="K154" s="15">
        <v>202.1</v>
      </c>
      <c r="L154" s="15">
        <f ca="1">RANDBETWEEN(30,87)</f>
        <v>32</v>
      </c>
      <c r="M154" s="11">
        <f ca="1">(L154/J154)</f>
        <v>0.18812463256907702</v>
      </c>
      <c r="N154" s="18">
        <v>45</v>
      </c>
      <c r="O154" s="18" t="str">
        <f t="shared" ca="1" si="8"/>
        <v>Optimal</v>
      </c>
      <c r="P154" s="11" t="str">
        <f ca="1">RANDBETWEEN(30,76)&amp;"%"</f>
        <v>44%</v>
      </c>
      <c r="Q154" s="18">
        <f>PRODUCT(K154,N154)</f>
        <v>9094.5</v>
      </c>
    </row>
    <row r="155" spans="1:17" x14ac:dyDescent="0.45">
      <c r="A155" s="6" t="s">
        <v>225</v>
      </c>
      <c r="B155" s="9" t="s">
        <v>226</v>
      </c>
      <c r="C155" s="6" t="s">
        <v>212</v>
      </c>
      <c r="D155" s="18">
        <f ca="1">RANDBETWEEN(500,1000)</f>
        <v>897</v>
      </c>
      <c r="E155" s="19">
        <v>45702</v>
      </c>
      <c r="F155" s="18">
        <v>28</v>
      </c>
      <c r="G155" s="20">
        <v>0.9</v>
      </c>
      <c r="H155" s="18">
        <f t="shared" ca="1" si="6"/>
        <v>64</v>
      </c>
      <c r="I155" s="18">
        <f t="shared" ca="1" si="7"/>
        <v>76</v>
      </c>
      <c r="J155" s="15">
        <f ca="1">K155-L155</f>
        <v>321.59999999999997</v>
      </c>
      <c r="K155" s="15">
        <v>352.59999999999997</v>
      </c>
      <c r="L155" s="15">
        <f ca="1">RANDBETWEEN(30,87)</f>
        <v>31</v>
      </c>
      <c r="M155" s="11">
        <f ca="1">(L155/J155)</f>
        <v>9.6393034825870652E-2</v>
      </c>
      <c r="N155" s="18">
        <v>76</v>
      </c>
      <c r="O155" s="18" t="str">
        <f t="shared" ca="1" si="8"/>
        <v>Understocked</v>
      </c>
      <c r="P155" s="11" t="str">
        <f ca="1">RANDBETWEEN(30,76)&amp;"%"</f>
        <v>63%</v>
      </c>
      <c r="Q155" s="18">
        <f>PRODUCT(K155,N155)</f>
        <v>26797.599999999999</v>
      </c>
    </row>
    <row r="156" spans="1:17" x14ac:dyDescent="0.45">
      <c r="A156" s="6" t="s">
        <v>227</v>
      </c>
      <c r="B156" s="9" t="s">
        <v>226</v>
      </c>
      <c r="C156" s="6" t="s">
        <v>212</v>
      </c>
      <c r="D156" s="18">
        <f ca="1">RANDBETWEEN(500,1000)</f>
        <v>700</v>
      </c>
      <c r="E156" s="19">
        <v>45484</v>
      </c>
      <c r="F156" s="18">
        <v>70</v>
      </c>
      <c r="G156" s="20">
        <v>0.35</v>
      </c>
      <c r="H156" s="18">
        <f t="shared" ca="1" si="6"/>
        <v>67</v>
      </c>
      <c r="I156" s="18">
        <f t="shared" ca="1" si="7"/>
        <v>72</v>
      </c>
      <c r="J156" s="15">
        <f ca="1">K156-L156</f>
        <v>214</v>
      </c>
      <c r="K156" s="15">
        <v>301</v>
      </c>
      <c r="L156" s="15">
        <f ca="1">RANDBETWEEN(30,87)</f>
        <v>87</v>
      </c>
      <c r="M156" s="11">
        <f ca="1">(L156/J156)</f>
        <v>0.40654205607476634</v>
      </c>
      <c r="N156" s="18">
        <v>47</v>
      </c>
      <c r="O156" s="18" t="str">
        <f t="shared" ca="1" si="8"/>
        <v>Optimal</v>
      </c>
      <c r="P156" s="11" t="str">
        <f ca="1">RANDBETWEEN(30,76)&amp;"%"</f>
        <v>34%</v>
      </c>
      <c r="Q156" s="18">
        <f>PRODUCT(K156,N156)</f>
        <v>14147</v>
      </c>
    </row>
    <row r="157" spans="1:17" x14ac:dyDescent="0.45">
      <c r="A157" s="6" t="s">
        <v>228</v>
      </c>
      <c r="B157" s="9" t="s">
        <v>226</v>
      </c>
      <c r="C157" s="6" t="s">
        <v>212</v>
      </c>
      <c r="D157" s="18">
        <f ca="1">RANDBETWEEN(500,1000)</f>
        <v>634</v>
      </c>
      <c r="E157" s="19">
        <v>45391</v>
      </c>
      <c r="F157" s="18">
        <v>69</v>
      </c>
      <c r="G157" s="20">
        <v>0.3</v>
      </c>
      <c r="H157" s="18">
        <f t="shared" ca="1" si="6"/>
        <v>61</v>
      </c>
      <c r="I157" s="18">
        <f t="shared" ca="1" si="7"/>
        <v>138</v>
      </c>
      <c r="J157" s="15">
        <f ca="1">K157-L157</f>
        <v>179</v>
      </c>
      <c r="K157" s="15">
        <v>258</v>
      </c>
      <c r="L157" s="15">
        <f ca="1">RANDBETWEEN(30,87)</f>
        <v>79</v>
      </c>
      <c r="M157" s="11">
        <f ca="1">(L157/J157)</f>
        <v>0.44134078212290501</v>
      </c>
      <c r="N157" s="18">
        <v>29</v>
      </c>
      <c r="O157" s="18" t="str">
        <f t="shared" ca="1" si="8"/>
        <v>Optimal</v>
      </c>
      <c r="P157" s="11" t="str">
        <f ca="1">RANDBETWEEN(30,76)&amp;"%"</f>
        <v>50%</v>
      </c>
      <c r="Q157" s="18">
        <f>PRODUCT(K157,N157)</f>
        <v>7482</v>
      </c>
    </row>
    <row r="158" spans="1:17" x14ac:dyDescent="0.45">
      <c r="A158" s="6" t="s">
        <v>229</v>
      </c>
      <c r="B158" s="9" t="s">
        <v>226</v>
      </c>
      <c r="C158" s="6" t="s">
        <v>212</v>
      </c>
      <c r="D158" s="18">
        <f ca="1">RANDBETWEEN(500,1000)</f>
        <v>883</v>
      </c>
      <c r="E158" s="19">
        <v>45531</v>
      </c>
      <c r="F158" s="18">
        <v>60</v>
      </c>
      <c r="G158" s="20">
        <v>0.88</v>
      </c>
      <c r="H158" s="18">
        <f t="shared" ca="1" si="6"/>
        <v>68</v>
      </c>
      <c r="I158" s="18">
        <f t="shared" ca="1" si="7"/>
        <v>133</v>
      </c>
      <c r="J158" s="15">
        <f ca="1">K158-L158</f>
        <v>806</v>
      </c>
      <c r="K158" s="15">
        <v>860</v>
      </c>
      <c r="L158" s="15">
        <f ca="1">RANDBETWEEN(30,87)</f>
        <v>54</v>
      </c>
      <c r="M158" s="11">
        <f ca="1">(L158/J158)</f>
        <v>6.699751861042183E-2</v>
      </c>
      <c r="N158" s="18">
        <v>42</v>
      </c>
      <c r="O158" s="18" t="str">
        <f t="shared" ca="1" si="8"/>
        <v>Understocked</v>
      </c>
      <c r="P158" s="11" t="str">
        <f ca="1">RANDBETWEEN(30,76)&amp;"%"</f>
        <v>56%</v>
      </c>
      <c r="Q158" s="18">
        <f>PRODUCT(K158,N158)</f>
        <v>36120</v>
      </c>
    </row>
    <row r="159" spans="1:17" x14ac:dyDescent="0.45">
      <c r="A159" s="6" t="s">
        <v>230</v>
      </c>
      <c r="B159" s="9" t="s">
        <v>226</v>
      </c>
      <c r="C159" s="6" t="s">
        <v>212</v>
      </c>
      <c r="D159" s="18">
        <f ca="1">RANDBETWEEN(500,1000)</f>
        <v>807</v>
      </c>
      <c r="E159" s="19">
        <v>45544</v>
      </c>
      <c r="F159" s="18">
        <v>52</v>
      </c>
      <c r="G159" s="20">
        <v>0.76</v>
      </c>
      <c r="H159" s="18">
        <f t="shared" ca="1" si="6"/>
        <v>72</v>
      </c>
      <c r="I159" s="18">
        <f t="shared" ca="1" si="7"/>
        <v>121</v>
      </c>
      <c r="J159" s="15">
        <f ca="1">K159-L159</f>
        <v>183</v>
      </c>
      <c r="K159" s="15">
        <v>215</v>
      </c>
      <c r="L159" s="15">
        <f ca="1">RANDBETWEEN(30,87)</f>
        <v>32</v>
      </c>
      <c r="M159" s="11">
        <f ca="1">(L159/J159)</f>
        <v>0.17486338797814208</v>
      </c>
      <c r="N159" s="18">
        <v>21</v>
      </c>
      <c r="O159" s="18" t="str">
        <f t="shared" ca="1" si="8"/>
        <v>Understocked</v>
      </c>
      <c r="P159" s="11" t="str">
        <f ca="1">RANDBETWEEN(30,76)&amp;"%"</f>
        <v>68%</v>
      </c>
      <c r="Q159" s="18">
        <f>PRODUCT(K159,N159)</f>
        <v>4515</v>
      </c>
    </row>
    <row r="160" spans="1:17" x14ac:dyDescent="0.45">
      <c r="A160" s="6" t="s">
        <v>231</v>
      </c>
      <c r="B160" s="9" t="s">
        <v>226</v>
      </c>
      <c r="C160" s="6" t="s">
        <v>212</v>
      </c>
      <c r="D160" s="18">
        <f ca="1">RANDBETWEEN(500,1000)</f>
        <v>718</v>
      </c>
      <c r="E160" s="19">
        <v>45472</v>
      </c>
      <c r="F160" s="18">
        <v>47</v>
      </c>
      <c r="G160" s="20">
        <v>0.89</v>
      </c>
      <c r="H160" s="18">
        <f t="shared" ca="1" si="6"/>
        <v>59</v>
      </c>
      <c r="I160" s="18">
        <f t="shared" ca="1" si="7"/>
        <v>124</v>
      </c>
      <c r="J160" s="15">
        <f ca="1">K160-L160</f>
        <v>329.8</v>
      </c>
      <c r="K160" s="15">
        <v>412.8</v>
      </c>
      <c r="L160" s="15">
        <f ca="1">RANDBETWEEN(30,87)</f>
        <v>83</v>
      </c>
      <c r="M160" s="11">
        <f ca="1">(L160/J160)</f>
        <v>0.25166767738023044</v>
      </c>
      <c r="N160" s="18">
        <v>48</v>
      </c>
      <c r="O160" s="18" t="str">
        <f t="shared" ca="1" si="8"/>
        <v>Understocked</v>
      </c>
      <c r="P160" s="11" t="str">
        <f ca="1">RANDBETWEEN(30,76)&amp;"%"</f>
        <v>72%</v>
      </c>
      <c r="Q160" s="18">
        <f>PRODUCT(K160,N160)</f>
        <v>19814.400000000001</v>
      </c>
    </row>
    <row r="161" spans="1:17" x14ac:dyDescent="0.45">
      <c r="A161" s="6" t="s">
        <v>232</v>
      </c>
      <c r="B161" s="9" t="s">
        <v>226</v>
      </c>
      <c r="C161" s="6" t="s">
        <v>212</v>
      </c>
      <c r="D161" s="18">
        <f ca="1">RANDBETWEEN(500,1000)</f>
        <v>510</v>
      </c>
      <c r="E161" s="19">
        <v>45510</v>
      </c>
      <c r="F161" s="18">
        <v>39</v>
      </c>
      <c r="G161" s="20">
        <v>0.68</v>
      </c>
      <c r="H161" s="18">
        <f t="shared" ca="1" si="6"/>
        <v>53</v>
      </c>
      <c r="I161" s="18">
        <f t="shared" ca="1" si="7"/>
        <v>188</v>
      </c>
      <c r="J161" s="15">
        <f ca="1">K161-L161</f>
        <v>255</v>
      </c>
      <c r="K161" s="15">
        <v>301</v>
      </c>
      <c r="L161" s="15">
        <f ca="1">RANDBETWEEN(30,87)</f>
        <v>46</v>
      </c>
      <c r="M161" s="11">
        <f ca="1">(L161/J161)</f>
        <v>0.1803921568627451</v>
      </c>
      <c r="N161" s="18">
        <v>46</v>
      </c>
      <c r="O161" s="18" t="str">
        <f t="shared" ca="1" si="8"/>
        <v>Understocked</v>
      </c>
      <c r="P161" s="11" t="str">
        <f ca="1">RANDBETWEEN(30,76)&amp;"%"</f>
        <v>51%</v>
      </c>
      <c r="Q161" s="18">
        <f>PRODUCT(K161,N161)</f>
        <v>13846</v>
      </c>
    </row>
    <row r="162" spans="1:17" x14ac:dyDescent="0.45">
      <c r="A162" s="6" t="s">
        <v>276</v>
      </c>
      <c r="B162" s="9" t="s">
        <v>277</v>
      </c>
      <c r="C162" s="6" t="s">
        <v>212</v>
      </c>
      <c r="D162" s="18">
        <f ca="1">RANDBETWEEN(500,1000)</f>
        <v>823</v>
      </c>
      <c r="E162" s="19">
        <v>45445</v>
      </c>
      <c r="F162" s="18">
        <v>60</v>
      </c>
      <c r="G162" s="20">
        <v>0.79</v>
      </c>
      <c r="H162" s="18">
        <f t="shared" ca="1" si="6"/>
        <v>76</v>
      </c>
      <c r="I162" s="18">
        <f t="shared" ca="1" si="7"/>
        <v>75</v>
      </c>
      <c r="J162" s="15">
        <f ca="1">K162-L162</f>
        <v>216</v>
      </c>
      <c r="K162" s="15">
        <v>258</v>
      </c>
      <c r="L162" s="15">
        <f ca="1">RANDBETWEEN(30,87)</f>
        <v>42</v>
      </c>
      <c r="M162" s="11">
        <f ca="1">(L162/J162)</f>
        <v>0.19444444444444445</v>
      </c>
      <c r="N162" s="18">
        <v>95</v>
      </c>
      <c r="O162" s="18" t="str">
        <f t="shared" ca="1" si="8"/>
        <v>Understocked</v>
      </c>
      <c r="P162" s="11" t="str">
        <f ca="1">RANDBETWEEN(30,76)&amp;"%"</f>
        <v>40%</v>
      </c>
      <c r="Q162" s="18">
        <f>PRODUCT(K162,N162)</f>
        <v>24510</v>
      </c>
    </row>
    <row r="163" spans="1:17" x14ac:dyDescent="0.45">
      <c r="A163" s="6" t="s">
        <v>278</v>
      </c>
      <c r="B163" s="9" t="s">
        <v>277</v>
      </c>
      <c r="C163" s="6" t="s">
        <v>212</v>
      </c>
      <c r="D163" s="18">
        <f ca="1">RANDBETWEEN(500,1000)</f>
        <v>712</v>
      </c>
      <c r="E163" s="19">
        <v>45582</v>
      </c>
      <c r="F163" s="18">
        <v>31</v>
      </c>
      <c r="G163" s="20">
        <v>0.69</v>
      </c>
      <c r="H163" s="18">
        <f t="shared" ca="1" si="6"/>
        <v>66</v>
      </c>
      <c r="I163" s="18">
        <f t="shared" ca="1" si="7"/>
        <v>189</v>
      </c>
      <c r="J163" s="15">
        <f ca="1">K163-L163</f>
        <v>1681</v>
      </c>
      <c r="K163" s="15">
        <v>1720</v>
      </c>
      <c r="L163" s="15">
        <f ca="1">RANDBETWEEN(30,87)</f>
        <v>39</v>
      </c>
      <c r="M163" s="11">
        <f ca="1">(L163/J163)</f>
        <v>2.3200475907198096E-2</v>
      </c>
      <c r="N163" s="18">
        <v>63</v>
      </c>
      <c r="O163" s="18" t="str">
        <f t="shared" ca="1" si="8"/>
        <v>Understocked</v>
      </c>
      <c r="P163" s="11" t="str">
        <f ca="1">RANDBETWEEN(30,76)&amp;"%"</f>
        <v>51%</v>
      </c>
      <c r="Q163" s="18">
        <f>PRODUCT(K163,N163)</f>
        <v>108360</v>
      </c>
    </row>
    <row r="164" spans="1:17" x14ac:dyDescent="0.45">
      <c r="A164" s="6" t="s">
        <v>280</v>
      </c>
      <c r="B164" s="9" t="s">
        <v>277</v>
      </c>
      <c r="C164" s="6" t="s">
        <v>212</v>
      </c>
      <c r="D164" s="18">
        <f ca="1">RANDBETWEEN(500,1000)</f>
        <v>925</v>
      </c>
      <c r="E164" s="19">
        <v>45589</v>
      </c>
      <c r="F164" s="18">
        <v>36</v>
      </c>
      <c r="G164" s="20">
        <v>0.4</v>
      </c>
      <c r="H164" s="18">
        <f t="shared" ca="1" si="6"/>
        <v>65</v>
      </c>
      <c r="I164" s="18">
        <f t="shared" ca="1" si="7"/>
        <v>90</v>
      </c>
      <c r="J164" s="15">
        <f ca="1">K164-L164</f>
        <v>269</v>
      </c>
      <c r="K164" s="15">
        <v>344</v>
      </c>
      <c r="L164" s="15">
        <f ca="1">RANDBETWEEN(30,87)</f>
        <v>75</v>
      </c>
      <c r="M164" s="11">
        <f ca="1">(L164/J164)</f>
        <v>0.27881040892193309</v>
      </c>
      <c r="N164" s="18">
        <v>30</v>
      </c>
      <c r="O164" s="18" t="str">
        <f t="shared" ca="1" si="8"/>
        <v>Understocked</v>
      </c>
      <c r="P164" s="11" t="str">
        <f ca="1">RANDBETWEEN(30,76)&amp;"%"</f>
        <v>35%</v>
      </c>
      <c r="Q164" s="18">
        <f>PRODUCT(K164,N164)</f>
        <v>10320</v>
      </c>
    </row>
    <row r="165" spans="1:17" x14ac:dyDescent="0.45">
      <c r="A165" s="6" t="s">
        <v>281</v>
      </c>
      <c r="B165" s="9" t="s">
        <v>277</v>
      </c>
      <c r="C165" s="6" t="s">
        <v>212</v>
      </c>
      <c r="D165" s="18">
        <f ca="1">RANDBETWEEN(500,1000)</f>
        <v>919</v>
      </c>
      <c r="E165" s="19">
        <v>45467</v>
      </c>
      <c r="F165" s="18">
        <v>70</v>
      </c>
      <c r="G165" s="20">
        <v>0.39</v>
      </c>
      <c r="H165" s="18">
        <f t="shared" ca="1" si="6"/>
        <v>70</v>
      </c>
      <c r="I165" s="18">
        <f t="shared" ca="1" si="7"/>
        <v>126</v>
      </c>
      <c r="J165" s="15">
        <f ca="1">K165-L165</f>
        <v>438</v>
      </c>
      <c r="K165" s="15">
        <v>473</v>
      </c>
      <c r="L165" s="15">
        <f ca="1">RANDBETWEEN(30,87)</f>
        <v>35</v>
      </c>
      <c r="M165" s="11">
        <f ca="1">(L165/J165)</f>
        <v>7.9908675799086754E-2</v>
      </c>
      <c r="N165" s="18">
        <v>63</v>
      </c>
      <c r="O165" s="18" t="str">
        <f t="shared" ca="1" si="8"/>
        <v>Optimal</v>
      </c>
      <c r="P165" s="11" t="str">
        <f ca="1">RANDBETWEEN(30,76)&amp;"%"</f>
        <v>69%</v>
      </c>
      <c r="Q165" s="18">
        <f>PRODUCT(K165,N165)</f>
        <v>29799</v>
      </c>
    </row>
    <row r="166" spans="1:17" x14ac:dyDescent="0.45">
      <c r="A166" s="6" t="s">
        <v>282</v>
      </c>
      <c r="B166" s="9" t="s">
        <v>277</v>
      </c>
      <c r="C166" s="6" t="s">
        <v>212</v>
      </c>
      <c r="D166" s="18">
        <f ca="1">RANDBETWEEN(500,1000)</f>
        <v>896</v>
      </c>
      <c r="E166" s="19">
        <v>45468</v>
      </c>
      <c r="F166" s="18">
        <v>85</v>
      </c>
      <c r="G166" s="20">
        <v>0.73</v>
      </c>
      <c r="H166" s="18">
        <f t="shared" ca="1" si="6"/>
        <v>55</v>
      </c>
      <c r="I166" s="18">
        <f t="shared" ca="1" si="7"/>
        <v>109</v>
      </c>
      <c r="J166" s="15">
        <f ca="1">K166-L166</f>
        <v>464</v>
      </c>
      <c r="K166" s="15">
        <v>516</v>
      </c>
      <c r="L166" s="15">
        <f ca="1">RANDBETWEEN(30,87)</f>
        <v>52</v>
      </c>
      <c r="M166" s="11">
        <f ca="1">(L166/J166)</f>
        <v>0.11206896551724138</v>
      </c>
      <c r="N166" s="18">
        <v>57</v>
      </c>
      <c r="O166" s="18" t="str">
        <f t="shared" ca="1" si="8"/>
        <v>Optimal</v>
      </c>
      <c r="P166" s="11" t="str">
        <f ca="1">RANDBETWEEN(30,76)&amp;"%"</f>
        <v>53%</v>
      </c>
      <c r="Q166" s="18">
        <f>PRODUCT(K166,N166)</f>
        <v>29412</v>
      </c>
    </row>
    <row r="167" spans="1:17" x14ac:dyDescent="0.45">
      <c r="A167" s="6" t="s">
        <v>283</v>
      </c>
      <c r="B167" s="9" t="s">
        <v>277</v>
      </c>
      <c r="C167" s="6" t="s">
        <v>212</v>
      </c>
      <c r="D167" s="18">
        <f ca="1">RANDBETWEEN(500,1000)</f>
        <v>718</v>
      </c>
      <c r="E167" s="19">
        <v>45350</v>
      </c>
      <c r="F167" s="18">
        <v>21</v>
      </c>
      <c r="G167" s="20">
        <v>0.49</v>
      </c>
      <c r="H167" s="18">
        <f t="shared" ca="1" si="6"/>
        <v>69</v>
      </c>
      <c r="I167" s="18">
        <f t="shared" ca="1" si="7"/>
        <v>148</v>
      </c>
      <c r="J167" s="15">
        <f ca="1">K167-L167</f>
        <v>53</v>
      </c>
      <c r="K167" s="15">
        <v>129</v>
      </c>
      <c r="L167" s="15">
        <f ca="1">RANDBETWEEN(30,87)</f>
        <v>76</v>
      </c>
      <c r="M167" s="11">
        <f ca="1">(L167/J167)</f>
        <v>1.4339622641509433</v>
      </c>
      <c r="N167" s="18">
        <v>69</v>
      </c>
      <c r="O167" s="18" t="str">
        <f t="shared" ca="1" si="8"/>
        <v>Understocked</v>
      </c>
      <c r="P167" s="11" t="str">
        <f ca="1">RANDBETWEEN(30,76)&amp;"%"</f>
        <v>66%</v>
      </c>
      <c r="Q167" s="18">
        <f>PRODUCT(K167,N167)</f>
        <v>8901</v>
      </c>
    </row>
    <row r="168" spans="1:17" x14ac:dyDescent="0.45">
      <c r="A168" s="6" t="s">
        <v>284</v>
      </c>
      <c r="B168" s="9" t="s">
        <v>277</v>
      </c>
      <c r="C168" s="6" t="s">
        <v>212</v>
      </c>
      <c r="D168" s="18">
        <f ca="1">RANDBETWEEN(500,1000)</f>
        <v>908</v>
      </c>
      <c r="E168" s="19">
        <v>45567</v>
      </c>
      <c r="F168" s="18">
        <v>68</v>
      </c>
      <c r="G168" s="20">
        <v>0.36</v>
      </c>
      <c r="H168" s="18">
        <f t="shared" ca="1" si="6"/>
        <v>58</v>
      </c>
      <c r="I168" s="18">
        <f t="shared" ca="1" si="7"/>
        <v>193</v>
      </c>
      <c r="J168" s="15">
        <f ca="1">K168-L168</f>
        <v>725</v>
      </c>
      <c r="K168" s="15">
        <v>774</v>
      </c>
      <c r="L168" s="15">
        <f ca="1">RANDBETWEEN(30,87)</f>
        <v>49</v>
      </c>
      <c r="M168" s="11">
        <f ca="1">(L168/J168)</f>
        <v>6.7586206896551718E-2</v>
      </c>
      <c r="N168" s="18">
        <v>79</v>
      </c>
      <c r="O168" s="18" t="str">
        <f t="shared" ca="1" si="8"/>
        <v>Optimal</v>
      </c>
      <c r="P168" s="11" t="str">
        <f ca="1">RANDBETWEEN(30,76)&amp;"%"</f>
        <v>58%</v>
      </c>
      <c r="Q168" s="18">
        <f>PRODUCT(K168,N168)</f>
        <v>61146</v>
      </c>
    </row>
    <row r="169" spans="1:17" x14ac:dyDescent="0.45">
      <c r="A169" s="6" t="s">
        <v>285</v>
      </c>
      <c r="B169" s="9" t="s">
        <v>277</v>
      </c>
      <c r="C169" s="6" t="s">
        <v>212</v>
      </c>
      <c r="D169" s="18">
        <f ca="1">RANDBETWEEN(500,1000)</f>
        <v>860</v>
      </c>
      <c r="E169" s="19">
        <v>45443</v>
      </c>
      <c r="F169" s="18">
        <v>88</v>
      </c>
      <c r="G169" s="20">
        <v>0.5</v>
      </c>
      <c r="H169" s="18">
        <f t="shared" ca="1" si="6"/>
        <v>55</v>
      </c>
      <c r="I169" s="18">
        <f t="shared" ca="1" si="7"/>
        <v>142</v>
      </c>
      <c r="J169" s="15">
        <f ca="1">K169-L169</f>
        <v>179</v>
      </c>
      <c r="K169" s="15">
        <v>215</v>
      </c>
      <c r="L169" s="15">
        <f ca="1">RANDBETWEEN(30,87)</f>
        <v>36</v>
      </c>
      <c r="M169" s="11">
        <f ca="1">(L169/J169)</f>
        <v>0.2011173184357542</v>
      </c>
      <c r="N169" s="18">
        <v>79</v>
      </c>
      <c r="O169" s="18" t="str">
        <f t="shared" ca="1" si="8"/>
        <v>Optimal</v>
      </c>
      <c r="P169" s="11" t="str">
        <f ca="1">RANDBETWEEN(30,76)&amp;"%"</f>
        <v>73%</v>
      </c>
      <c r="Q169" s="18">
        <f>PRODUCT(K169,N169)</f>
        <v>16985</v>
      </c>
    </row>
    <row r="170" spans="1:17" x14ac:dyDescent="0.45">
      <c r="A170" s="6" t="s">
        <v>286</v>
      </c>
      <c r="B170" s="9" t="s">
        <v>277</v>
      </c>
      <c r="C170" s="6" t="s">
        <v>212</v>
      </c>
      <c r="D170" s="18">
        <f ca="1">RANDBETWEEN(500,1000)</f>
        <v>865</v>
      </c>
      <c r="E170" s="19">
        <v>45431</v>
      </c>
      <c r="F170" s="18">
        <v>86</v>
      </c>
      <c r="G170" s="20">
        <v>0.82</v>
      </c>
      <c r="H170" s="18">
        <f t="shared" ca="1" si="6"/>
        <v>51</v>
      </c>
      <c r="I170" s="18">
        <f t="shared" ca="1" si="7"/>
        <v>172</v>
      </c>
      <c r="J170" s="15">
        <f ca="1">K170-L170</f>
        <v>517</v>
      </c>
      <c r="K170" s="15">
        <v>602</v>
      </c>
      <c r="L170" s="15">
        <f ca="1">RANDBETWEEN(30,87)</f>
        <v>85</v>
      </c>
      <c r="M170" s="11">
        <f ca="1">(L170/J170)</f>
        <v>0.16441005802707931</v>
      </c>
      <c r="N170" s="18">
        <v>100</v>
      </c>
      <c r="O170" s="18" t="str">
        <f t="shared" ca="1" si="8"/>
        <v>Optimal</v>
      </c>
      <c r="P170" s="11" t="str">
        <f ca="1">RANDBETWEEN(30,76)&amp;"%"</f>
        <v>52%</v>
      </c>
      <c r="Q170" s="18">
        <f>PRODUCT(K170,N170)</f>
        <v>60200</v>
      </c>
    </row>
    <row r="171" spans="1:17" x14ac:dyDescent="0.45">
      <c r="A171" s="6" t="s">
        <v>287</v>
      </c>
      <c r="B171" s="9" t="s">
        <v>288</v>
      </c>
      <c r="C171" s="6" t="s">
        <v>212</v>
      </c>
      <c r="D171" s="18">
        <f ca="1">RANDBETWEEN(500,1000)</f>
        <v>839</v>
      </c>
      <c r="E171" s="19">
        <v>45446</v>
      </c>
      <c r="F171" s="18">
        <v>78</v>
      </c>
      <c r="G171" s="20">
        <v>0.69</v>
      </c>
      <c r="H171" s="18">
        <f t="shared" ca="1" si="6"/>
        <v>70</v>
      </c>
      <c r="I171" s="18">
        <f t="shared" ca="1" si="7"/>
        <v>193</v>
      </c>
      <c r="J171" s="15">
        <f ca="1">K171-L171</f>
        <v>531</v>
      </c>
      <c r="K171" s="15">
        <v>602</v>
      </c>
      <c r="L171" s="15">
        <f ca="1">RANDBETWEEN(30,87)</f>
        <v>71</v>
      </c>
      <c r="M171" s="11">
        <f ca="1">(L171/J171)</f>
        <v>0.13370998116760829</v>
      </c>
      <c r="N171" s="18">
        <v>60</v>
      </c>
      <c r="O171" s="18" t="str">
        <f t="shared" ca="1" si="8"/>
        <v>Optimal</v>
      </c>
      <c r="P171" s="11" t="str">
        <f ca="1">RANDBETWEEN(30,76)&amp;"%"</f>
        <v>36%</v>
      </c>
      <c r="Q171" s="18">
        <f>PRODUCT(K171,N171)</f>
        <v>36120</v>
      </c>
    </row>
    <row r="172" spans="1:17" x14ac:dyDescent="0.45">
      <c r="A172" s="6" t="s">
        <v>289</v>
      </c>
      <c r="B172" s="9" t="s">
        <v>288</v>
      </c>
      <c r="C172" s="6" t="s">
        <v>212</v>
      </c>
      <c r="D172" s="18">
        <f ca="1">RANDBETWEEN(500,1000)</f>
        <v>986</v>
      </c>
      <c r="E172" s="19">
        <v>45645</v>
      </c>
      <c r="F172" s="18">
        <v>50</v>
      </c>
      <c r="G172" s="20">
        <v>0.56999999999999995</v>
      </c>
      <c r="H172" s="18">
        <f t="shared" ref="H172:H233" ca="1" si="9">RANDBETWEEN(50,80)</f>
        <v>69</v>
      </c>
      <c r="I172" s="18">
        <f t="shared" ref="I172:I233" ca="1" si="10">RANDBETWEEN(70,200)</f>
        <v>187</v>
      </c>
      <c r="J172" s="15">
        <f ca="1">K172-L172</f>
        <v>157</v>
      </c>
      <c r="K172" s="15">
        <v>215</v>
      </c>
      <c r="L172" s="15">
        <f ca="1">RANDBETWEEN(30,87)</f>
        <v>58</v>
      </c>
      <c r="M172" s="11">
        <f ca="1">(L172/J172)</f>
        <v>0.36942675159235666</v>
      </c>
      <c r="N172" s="18">
        <v>60</v>
      </c>
      <c r="O172" s="18" t="str">
        <f t="shared" ref="O172:O233" ca="1" si="11">IF(F172&lt;H172,"Understocked","Optimal")</f>
        <v>Understocked</v>
      </c>
      <c r="P172" s="11" t="str">
        <f ca="1">RANDBETWEEN(30,76)&amp;"%"</f>
        <v>53%</v>
      </c>
      <c r="Q172" s="18">
        <f>PRODUCT(K172,N172)</f>
        <v>12900</v>
      </c>
    </row>
    <row r="173" spans="1:17" x14ac:dyDescent="0.45">
      <c r="A173" s="6" t="s">
        <v>290</v>
      </c>
      <c r="B173" s="9" t="s">
        <v>288</v>
      </c>
      <c r="C173" s="6" t="s">
        <v>212</v>
      </c>
      <c r="D173" s="18">
        <f ca="1">RANDBETWEEN(500,1000)</f>
        <v>589</v>
      </c>
      <c r="E173" s="19">
        <v>45577</v>
      </c>
      <c r="F173" s="18">
        <v>53</v>
      </c>
      <c r="G173" s="20">
        <v>0.81</v>
      </c>
      <c r="H173" s="18">
        <f t="shared" ca="1" si="9"/>
        <v>77</v>
      </c>
      <c r="I173" s="18">
        <f t="shared" ca="1" si="10"/>
        <v>150</v>
      </c>
      <c r="J173" s="15">
        <f ca="1">K173-L173</f>
        <v>301.7</v>
      </c>
      <c r="K173" s="15">
        <v>382.7</v>
      </c>
      <c r="L173" s="15">
        <f ca="1">RANDBETWEEN(30,87)</f>
        <v>81</v>
      </c>
      <c r="M173" s="11">
        <f ca="1">(L173/J173)</f>
        <v>0.26847862114683463</v>
      </c>
      <c r="N173" s="18">
        <v>56</v>
      </c>
      <c r="O173" s="18" t="str">
        <f t="shared" ca="1" si="11"/>
        <v>Understocked</v>
      </c>
      <c r="P173" s="11" t="str">
        <f ca="1">RANDBETWEEN(30,76)&amp;"%"</f>
        <v>59%</v>
      </c>
      <c r="Q173" s="18">
        <f>PRODUCT(K173,N173)</f>
        <v>21431.200000000001</v>
      </c>
    </row>
    <row r="174" spans="1:17" x14ac:dyDescent="0.45">
      <c r="A174" s="6" t="s">
        <v>291</v>
      </c>
      <c r="B174" s="9" t="s">
        <v>288</v>
      </c>
      <c r="C174" s="6" t="s">
        <v>212</v>
      </c>
      <c r="D174" s="18">
        <f ca="1">RANDBETWEEN(500,1000)</f>
        <v>738</v>
      </c>
      <c r="E174" s="19">
        <v>45440</v>
      </c>
      <c r="F174" s="18">
        <v>69</v>
      </c>
      <c r="G174" s="20">
        <v>0.55000000000000004</v>
      </c>
      <c r="H174" s="18">
        <f t="shared" ca="1" si="9"/>
        <v>52</v>
      </c>
      <c r="I174" s="18">
        <f t="shared" ca="1" si="10"/>
        <v>118</v>
      </c>
      <c r="J174" s="15">
        <f ca="1">K174-L174</f>
        <v>292</v>
      </c>
      <c r="K174" s="15">
        <v>344</v>
      </c>
      <c r="L174" s="15">
        <f ca="1">RANDBETWEEN(30,87)</f>
        <v>52</v>
      </c>
      <c r="M174" s="11">
        <f ca="1">(L174/J174)</f>
        <v>0.17808219178082191</v>
      </c>
      <c r="N174" s="18">
        <v>28</v>
      </c>
      <c r="O174" s="18" t="str">
        <f t="shared" ca="1" si="11"/>
        <v>Optimal</v>
      </c>
      <c r="P174" s="11" t="str">
        <f ca="1">RANDBETWEEN(30,76)&amp;"%"</f>
        <v>64%</v>
      </c>
      <c r="Q174" s="18">
        <f>PRODUCT(K174,N174)</f>
        <v>9632</v>
      </c>
    </row>
    <row r="175" spans="1:17" x14ac:dyDescent="0.45">
      <c r="A175" s="6" t="s">
        <v>292</v>
      </c>
      <c r="B175" s="9" t="s">
        <v>288</v>
      </c>
      <c r="C175" s="6" t="s">
        <v>212</v>
      </c>
      <c r="D175" s="18">
        <f ca="1">RANDBETWEEN(500,1000)</f>
        <v>532</v>
      </c>
      <c r="E175" s="19">
        <v>45499</v>
      </c>
      <c r="F175" s="18">
        <v>76</v>
      </c>
      <c r="G175" s="20">
        <v>0.79</v>
      </c>
      <c r="H175" s="18">
        <f t="shared" ca="1" si="9"/>
        <v>77</v>
      </c>
      <c r="I175" s="18">
        <f t="shared" ca="1" si="10"/>
        <v>159</v>
      </c>
      <c r="J175" s="15">
        <f ca="1">K175-L175</f>
        <v>122</v>
      </c>
      <c r="K175" s="15">
        <v>172</v>
      </c>
      <c r="L175" s="15">
        <f ca="1">RANDBETWEEN(30,87)</f>
        <v>50</v>
      </c>
      <c r="M175" s="11">
        <f ca="1">(L175/J175)</f>
        <v>0.4098360655737705</v>
      </c>
      <c r="N175" s="18">
        <v>60</v>
      </c>
      <c r="O175" s="18" t="str">
        <f t="shared" ca="1" si="11"/>
        <v>Understocked</v>
      </c>
      <c r="P175" s="11" t="str">
        <f ca="1">RANDBETWEEN(30,76)&amp;"%"</f>
        <v>34%</v>
      </c>
      <c r="Q175" s="18">
        <f>PRODUCT(K175,N175)</f>
        <v>10320</v>
      </c>
    </row>
    <row r="176" spans="1:17" x14ac:dyDescent="0.45">
      <c r="A176" s="6" t="s">
        <v>293</v>
      </c>
      <c r="B176" s="9" t="s">
        <v>288</v>
      </c>
      <c r="C176" s="6" t="s">
        <v>212</v>
      </c>
      <c r="D176" s="18">
        <f ca="1">RANDBETWEEN(500,1000)</f>
        <v>684</v>
      </c>
      <c r="E176" s="19">
        <v>45650</v>
      </c>
      <c r="F176" s="18">
        <v>88</v>
      </c>
      <c r="G176" s="20">
        <v>0.88</v>
      </c>
      <c r="H176" s="18">
        <f t="shared" ca="1" si="9"/>
        <v>69</v>
      </c>
      <c r="I176" s="18">
        <f t="shared" ca="1" si="10"/>
        <v>186</v>
      </c>
      <c r="J176" s="15">
        <f ca="1">K176-L176</f>
        <v>137.6</v>
      </c>
      <c r="K176" s="15">
        <v>180.6</v>
      </c>
      <c r="L176" s="15">
        <f ca="1">RANDBETWEEN(30,87)</f>
        <v>43</v>
      </c>
      <c r="M176" s="11">
        <f ca="1">(L176/J176)</f>
        <v>0.3125</v>
      </c>
      <c r="N176" s="18">
        <v>56</v>
      </c>
      <c r="O176" s="18" t="str">
        <f t="shared" ca="1" si="11"/>
        <v>Optimal</v>
      </c>
      <c r="P176" s="11" t="str">
        <f ca="1">RANDBETWEEN(30,76)&amp;"%"</f>
        <v>38%</v>
      </c>
      <c r="Q176" s="18">
        <f>PRODUCT(K176,N176)</f>
        <v>10113.6</v>
      </c>
    </row>
    <row r="177" spans="1:17" x14ac:dyDescent="0.45">
      <c r="A177" s="6" t="s">
        <v>294</v>
      </c>
      <c r="B177" s="9" t="s">
        <v>288</v>
      </c>
      <c r="C177" s="6" t="s">
        <v>212</v>
      </c>
      <c r="D177" s="18">
        <f ca="1">RANDBETWEEN(500,1000)</f>
        <v>546</v>
      </c>
      <c r="E177" s="19">
        <v>45663</v>
      </c>
      <c r="F177" s="18">
        <v>100</v>
      </c>
      <c r="G177" s="20">
        <v>0.66</v>
      </c>
      <c r="H177" s="18">
        <f t="shared" ca="1" si="9"/>
        <v>71</v>
      </c>
      <c r="I177" s="18">
        <f t="shared" ca="1" si="10"/>
        <v>194</v>
      </c>
      <c r="J177" s="15">
        <f ca="1">K177-L177</f>
        <v>148</v>
      </c>
      <c r="K177" s="15">
        <v>215</v>
      </c>
      <c r="L177" s="15">
        <f ca="1">RANDBETWEEN(30,87)</f>
        <v>67</v>
      </c>
      <c r="M177" s="11">
        <f ca="1">(L177/J177)</f>
        <v>0.45270270270270269</v>
      </c>
      <c r="N177" s="18">
        <v>88</v>
      </c>
      <c r="O177" s="18" t="str">
        <f t="shared" ca="1" si="11"/>
        <v>Optimal</v>
      </c>
      <c r="P177" s="11" t="str">
        <f ca="1">RANDBETWEEN(30,76)&amp;"%"</f>
        <v>49%</v>
      </c>
      <c r="Q177" s="18">
        <f>PRODUCT(K177,N177)</f>
        <v>18920</v>
      </c>
    </row>
    <row r="178" spans="1:17" x14ac:dyDescent="0.45">
      <c r="A178" s="6" t="s">
        <v>347</v>
      </c>
      <c r="B178" s="9" t="s">
        <v>348</v>
      </c>
      <c r="C178" s="6" t="s">
        <v>212</v>
      </c>
      <c r="D178" s="18">
        <f ca="1">RANDBETWEEN(500,1000)</f>
        <v>976</v>
      </c>
      <c r="E178" s="19">
        <v>45528</v>
      </c>
      <c r="F178" s="18">
        <v>68</v>
      </c>
      <c r="G178" s="20">
        <v>0.35</v>
      </c>
      <c r="H178" s="18">
        <f t="shared" ca="1" si="9"/>
        <v>59</v>
      </c>
      <c r="I178" s="18">
        <f t="shared" ca="1" si="10"/>
        <v>187</v>
      </c>
      <c r="J178" s="15">
        <f ca="1">K178-L178</f>
        <v>192</v>
      </c>
      <c r="K178" s="15">
        <v>258</v>
      </c>
      <c r="L178" s="15">
        <f ca="1">RANDBETWEEN(30,87)</f>
        <v>66</v>
      </c>
      <c r="M178" s="11">
        <f ca="1">(L178/J178)</f>
        <v>0.34375</v>
      </c>
      <c r="N178" s="18">
        <v>90</v>
      </c>
      <c r="O178" s="18" t="str">
        <f t="shared" ca="1" si="11"/>
        <v>Optimal</v>
      </c>
      <c r="P178" s="11" t="str">
        <f ca="1">RANDBETWEEN(30,76)&amp;"%"</f>
        <v>49%</v>
      </c>
      <c r="Q178" s="18">
        <f>PRODUCT(K178,N178)</f>
        <v>23220</v>
      </c>
    </row>
    <row r="179" spans="1:17" x14ac:dyDescent="0.45">
      <c r="A179" s="6" t="s">
        <v>349</v>
      </c>
      <c r="B179" s="9" t="s">
        <v>348</v>
      </c>
      <c r="C179" s="6" t="s">
        <v>212</v>
      </c>
      <c r="D179" s="18">
        <f ca="1">RANDBETWEEN(500,1000)</f>
        <v>916</v>
      </c>
      <c r="E179" s="19">
        <v>45348</v>
      </c>
      <c r="F179" s="18">
        <v>37</v>
      </c>
      <c r="G179" s="20">
        <v>0.39</v>
      </c>
      <c r="H179" s="18">
        <f t="shared" ca="1" si="9"/>
        <v>69</v>
      </c>
      <c r="I179" s="18">
        <f t="shared" ca="1" si="10"/>
        <v>131</v>
      </c>
      <c r="J179" s="15">
        <f ca="1">K179-L179</f>
        <v>761.19999999999993</v>
      </c>
      <c r="K179" s="15">
        <v>791.19999999999993</v>
      </c>
      <c r="L179" s="15">
        <f ca="1">RANDBETWEEN(30,87)</f>
        <v>30</v>
      </c>
      <c r="M179" s="11">
        <f ca="1">(L179/J179)</f>
        <v>3.9411455596426698E-2</v>
      </c>
      <c r="N179" s="18">
        <v>68</v>
      </c>
      <c r="O179" s="18" t="str">
        <f t="shared" ca="1" si="11"/>
        <v>Understocked</v>
      </c>
      <c r="P179" s="11" t="str">
        <f ca="1">RANDBETWEEN(30,76)&amp;"%"</f>
        <v>66%</v>
      </c>
      <c r="Q179" s="18">
        <f>PRODUCT(K179,N179)</f>
        <v>53801.599999999999</v>
      </c>
    </row>
    <row r="180" spans="1:17" x14ac:dyDescent="0.45">
      <c r="A180" s="6" t="s">
        <v>351</v>
      </c>
      <c r="B180" s="9" t="s">
        <v>348</v>
      </c>
      <c r="C180" s="6" t="s">
        <v>212</v>
      </c>
      <c r="D180" s="18">
        <f ca="1">RANDBETWEEN(500,1000)</f>
        <v>963</v>
      </c>
      <c r="E180" s="19">
        <v>45535</v>
      </c>
      <c r="F180" s="18">
        <v>67</v>
      </c>
      <c r="G180" s="20">
        <v>0.8</v>
      </c>
      <c r="H180" s="18">
        <f t="shared" ca="1" si="9"/>
        <v>63</v>
      </c>
      <c r="I180" s="18">
        <f t="shared" ca="1" si="10"/>
        <v>111</v>
      </c>
      <c r="J180" s="15">
        <f ca="1">K180-L180</f>
        <v>384</v>
      </c>
      <c r="K180" s="15">
        <v>430</v>
      </c>
      <c r="L180" s="15">
        <f ca="1">RANDBETWEEN(30,87)</f>
        <v>46</v>
      </c>
      <c r="M180" s="11">
        <f ca="1">(L180/J180)</f>
        <v>0.11979166666666667</v>
      </c>
      <c r="N180" s="18">
        <v>35</v>
      </c>
      <c r="O180" s="18" t="str">
        <f t="shared" ca="1" si="11"/>
        <v>Optimal</v>
      </c>
      <c r="P180" s="11" t="str">
        <f ca="1">RANDBETWEEN(30,76)&amp;"%"</f>
        <v>60%</v>
      </c>
      <c r="Q180" s="18">
        <f>PRODUCT(K180,N180)</f>
        <v>15050</v>
      </c>
    </row>
    <row r="181" spans="1:17" x14ac:dyDescent="0.45">
      <c r="A181" s="6" t="s">
        <v>352</v>
      </c>
      <c r="B181" s="9" t="s">
        <v>353</v>
      </c>
      <c r="C181" s="6" t="s">
        <v>212</v>
      </c>
      <c r="D181" s="18">
        <f ca="1">RANDBETWEEN(500,1000)</f>
        <v>507</v>
      </c>
      <c r="E181" s="19">
        <v>45587</v>
      </c>
      <c r="F181" s="18">
        <v>92</v>
      </c>
      <c r="G181" s="20">
        <v>0.48</v>
      </c>
      <c r="H181" s="18">
        <f t="shared" ca="1" si="9"/>
        <v>76</v>
      </c>
      <c r="I181" s="18">
        <f t="shared" ca="1" si="10"/>
        <v>113</v>
      </c>
      <c r="J181" s="15">
        <f ca="1">K181-L181</f>
        <v>154.79999999999998</v>
      </c>
      <c r="K181" s="15">
        <v>197.79999999999998</v>
      </c>
      <c r="L181" s="15">
        <f ca="1">RANDBETWEEN(30,87)</f>
        <v>43</v>
      </c>
      <c r="M181" s="11">
        <f ca="1">(L181/J181)</f>
        <v>0.27777777777777779</v>
      </c>
      <c r="N181" s="18">
        <v>72</v>
      </c>
      <c r="O181" s="18" t="str">
        <f t="shared" ca="1" si="11"/>
        <v>Optimal</v>
      </c>
      <c r="P181" s="11" t="str">
        <f ca="1">RANDBETWEEN(30,76)&amp;"%"</f>
        <v>75%</v>
      </c>
      <c r="Q181" s="18">
        <f>PRODUCT(K181,N181)</f>
        <v>14241.599999999999</v>
      </c>
    </row>
    <row r="182" spans="1:17" x14ac:dyDescent="0.45">
      <c r="A182" s="6" t="s">
        <v>354</v>
      </c>
      <c r="B182" s="9" t="s">
        <v>353</v>
      </c>
      <c r="C182" s="6" t="s">
        <v>212</v>
      </c>
      <c r="D182" s="18">
        <f ca="1">RANDBETWEEN(500,1000)</f>
        <v>831</v>
      </c>
      <c r="E182" s="19">
        <v>45636</v>
      </c>
      <c r="F182" s="18">
        <v>82</v>
      </c>
      <c r="G182" s="20">
        <v>0.72</v>
      </c>
      <c r="H182" s="18">
        <f t="shared" ca="1" si="9"/>
        <v>78</v>
      </c>
      <c r="I182" s="18">
        <f t="shared" ca="1" si="10"/>
        <v>136</v>
      </c>
      <c r="J182" s="15">
        <f ca="1">K182-L182</f>
        <v>521</v>
      </c>
      <c r="K182" s="15">
        <v>602</v>
      </c>
      <c r="L182" s="15">
        <f ca="1">RANDBETWEEN(30,87)</f>
        <v>81</v>
      </c>
      <c r="M182" s="11">
        <f ca="1">(L182/J182)</f>
        <v>0.15547024952015356</v>
      </c>
      <c r="N182" s="18">
        <v>48</v>
      </c>
      <c r="O182" s="18" t="str">
        <f t="shared" ca="1" si="11"/>
        <v>Optimal</v>
      </c>
      <c r="P182" s="11" t="str">
        <f ca="1">RANDBETWEEN(30,76)&amp;"%"</f>
        <v>56%</v>
      </c>
      <c r="Q182" s="18">
        <f>PRODUCT(K182,N182)</f>
        <v>28896</v>
      </c>
    </row>
    <row r="183" spans="1:17" x14ac:dyDescent="0.45">
      <c r="A183" s="6" t="s">
        <v>355</v>
      </c>
      <c r="B183" s="9" t="s">
        <v>353</v>
      </c>
      <c r="C183" s="6" t="s">
        <v>212</v>
      </c>
      <c r="D183" s="18">
        <f ca="1">RANDBETWEEN(500,1000)</f>
        <v>600</v>
      </c>
      <c r="E183" s="19">
        <v>45546</v>
      </c>
      <c r="F183" s="18">
        <v>21</v>
      </c>
      <c r="G183" s="20">
        <v>0.67</v>
      </c>
      <c r="H183" s="18">
        <f t="shared" ca="1" si="9"/>
        <v>62</v>
      </c>
      <c r="I183" s="18">
        <f t="shared" ca="1" si="10"/>
        <v>82</v>
      </c>
      <c r="J183" s="15">
        <f ca="1">K183-L183</f>
        <v>140</v>
      </c>
      <c r="K183" s="15">
        <v>215</v>
      </c>
      <c r="L183" s="15">
        <f ca="1">RANDBETWEEN(30,87)</f>
        <v>75</v>
      </c>
      <c r="M183" s="11">
        <f ca="1">(L183/J183)</f>
        <v>0.5357142857142857</v>
      </c>
      <c r="N183" s="18">
        <v>87</v>
      </c>
      <c r="O183" s="18" t="str">
        <f t="shared" ca="1" si="11"/>
        <v>Understocked</v>
      </c>
      <c r="P183" s="11" t="str">
        <f ca="1">RANDBETWEEN(30,76)&amp;"%"</f>
        <v>75%</v>
      </c>
      <c r="Q183" s="18">
        <f>PRODUCT(K183,N183)</f>
        <v>18705</v>
      </c>
    </row>
    <row r="184" spans="1:17" x14ac:dyDescent="0.45">
      <c r="A184" s="6" t="s">
        <v>357</v>
      </c>
      <c r="B184" s="9" t="s">
        <v>353</v>
      </c>
      <c r="C184" s="6" t="s">
        <v>212</v>
      </c>
      <c r="D184" s="18">
        <f ca="1">RANDBETWEEN(500,1000)</f>
        <v>724</v>
      </c>
      <c r="E184" s="19">
        <v>45458</v>
      </c>
      <c r="F184" s="18">
        <v>29</v>
      </c>
      <c r="G184" s="20">
        <v>0.53</v>
      </c>
      <c r="H184" s="18">
        <f t="shared" ca="1" si="9"/>
        <v>52</v>
      </c>
      <c r="I184" s="18">
        <f t="shared" ca="1" si="10"/>
        <v>168</v>
      </c>
      <c r="J184" s="15">
        <f ca="1">K184-L184</f>
        <v>147</v>
      </c>
      <c r="K184" s="15">
        <v>215</v>
      </c>
      <c r="L184" s="15">
        <f ca="1">RANDBETWEEN(30,87)</f>
        <v>68</v>
      </c>
      <c r="M184" s="11">
        <f ca="1">(L184/J184)</f>
        <v>0.46258503401360546</v>
      </c>
      <c r="N184" s="18">
        <v>64</v>
      </c>
      <c r="O184" s="18" t="str">
        <f t="shared" ca="1" si="11"/>
        <v>Understocked</v>
      </c>
      <c r="P184" s="11" t="str">
        <f ca="1">RANDBETWEEN(30,76)&amp;"%"</f>
        <v>43%</v>
      </c>
      <c r="Q184" s="18">
        <f>PRODUCT(K184,N184)</f>
        <v>13760</v>
      </c>
    </row>
    <row r="185" spans="1:17" x14ac:dyDescent="0.45">
      <c r="A185" s="6" t="s">
        <v>358</v>
      </c>
      <c r="B185" s="9" t="s">
        <v>353</v>
      </c>
      <c r="C185" s="6" t="s">
        <v>212</v>
      </c>
      <c r="D185" s="18">
        <f ca="1">RANDBETWEEN(500,1000)</f>
        <v>537</v>
      </c>
      <c r="E185" s="19">
        <v>45443</v>
      </c>
      <c r="F185" s="18">
        <v>62</v>
      </c>
      <c r="G185" s="20">
        <v>0.56000000000000005</v>
      </c>
      <c r="H185" s="18">
        <f t="shared" ca="1" si="9"/>
        <v>50</v>
      </c>
      <c r="I185" s="18">
        <f t="shared" ca="1" si="10"/>
        <v>166</v>
      </c>
      <c r="J185" s="15">
        <f ca="1">K185-L185</f>
        <v>211</v>
      </c>
      <c r="K185" s="15">
        <v>258</v>
      </c>
      <c r="L185" s="15">
        <f ca="1">RANDBETWEEN(30,87)</f>
        <v>47</v>
      </c>
      <c r="M185" s="11">
        <f ca="1">(L185/J185)</f>
        <v>0.22274881516587677</v>
      </c>
      <c r="N185" s="18">
        <v>41</v>
      </c>
      <c r="O185" s="18" t="str">
        <f t="shared" ca="1" si="11"/>
        <v>Optimal</v>
      </c>
      <c r="P185" s="11" t="str">
        <f ca="1">RANDBETWEEN(30,76)&amp;"%"</f>
        <v>53%</v>
      </c>
      <c r="Q185" s="18">
        <f>PRODUCT(K185,N185)</f>
        <v>10578</v>
      </c>
    </row>
    <row r="186" spans="1:17" x14ac:dyDescent="0.45">
      <c r="A186" s="6" t="s">
        <v>382</v>
      </c>
      <c r="B186" s="9" t="s">
        <v>383</v>
      </c>
      <c r="C186" s="6" t="s">
        <v>212</v>
      </c>
      <c r="D186" s="18">
        <f ca="1">RANDBETWEEN(500,1000)</f>
        <v>628</v>
      </c>
      <c r="E186" s="19">
        <v>45354</v>
      </c>
      <c r="F186" s="18">
        <v>36</v>
      </c>
      <c r="G186" s="20">
        <v>0.61</v>
      </c>
      <c r="H186" s="18">
        <f t="shared" ca="1" si="9"/>
        <v>58</v>
      </c>
      <c r="I186" s="18">
        <f t="shared" ca="1" si="10"/>
        <v>76</v>
      </c>
      <c r="J186" s="15">
        <f ca="1">K186-L186</f>
        <v>138</v>
      </c>
      <c r="K186" s="15">
        <v>172</v>
      </c>
      <c r="L186" s="15">
        <f ca="1">RANDBETWEEN(30,87)</f>
        <v>34</v>
      </c>
      <c r="M186" s="11">
        <f ca="1">(L186/J186)</f>
        <v>0.24637681159420291</v>
      </c>
      <c r="N186" s="18">
        <v>68</v>
      </c>
      <c r="O186" s="18" t="str">
        <f t="shared" ca="1" si="11"/>
        <v>Understocked</v>
      </c>
      <c r="P186" s="11" t="str">
        <f ca="1">RANDBETWEEN(30,76)&amp;"%"</f>
        <v>43%</v>
      </c>
      <c r="Q186" s="18">
        <f>PRODUCT(K186,N186)</f>
        <v>11696</v>
      </c>
    </row>
    <row r="187" spans="1:17" x14ac:dyDescent="0.45">
      <c r="A187" s="6" t="s">
        <v>384</v>
      </c>
      <c r="B187" s="9" t="s">
        <v>383</v>
      </c>
      <c r="C187" s="6" t="s">
        <v>212</v>
      </c>
      <c r="D187" s="18">
        <f ca="1">RANDBETWEEN(500,1000)</f>
        <v>504</v>
      </c>
      <c r="E187" s="19">
        <v>45471</v>
      </c>
      <c r="F187" s="18">
        <v>22</v>
      </c>
      <c r="G187" s="20">
        <v>0.44</v>
      </c>
      <c r="H187" s="18">
        <f t="shared" ca="1" si="9"/>
        <v>57</v>
      </c>
      <c r="I187" s="18">
        <f t="shared" ca="1" si="10"/>
        <v>149</v>
      </c>
      <c r="J187" s="15">
        <f ca="1">K187-L187</f>
        <v>496</v>
      </c>
      <c r="K187" s="15">
        <v>559</v>
      </c>
      <c r="L187" s="15">
        <f ca="1">RANDBETWEEN(30,87)</f>
        <v>63</v>
      </c>
      <c r="M187" s="11">
        <f ca="1">(L187/J187)</f>
        <v>0.12701612903225806</v>
      </c>
      <c r="N187" s="18">
        <v>33</v>
      </c>
      <c r="O187" s="18" t="str">
        <f t="shared" ca="1" si="11"/>
        <v>Understocked</v>
      </c>
      <c r="P187" s="11" t="str">
        <f ca="1">RANDBETWEEN(30,76)&amp;"%"</f>
        <v>30%</v>
      </c>
      <c r="Q187" s="18">
        <f>PRODUCT(K187,N187)</f>
        <v>18447</v>
      </c>
    </row>
    <row r="188" spans="1:17" x14ac:dyDescent="0.45">
      <c r="A188" s="6" t="s">
        <v>385</v>
      </c>
      <c r="B188" s="9" t="s">
        <v>383</v>
      </c>
      <c r="C188" s="6" t="s">
        <v>212</v>
      </c>
      <c r="D188" s="18">
        <f ca="1">RANDBETWEEN(500,1000)</f>
        <v>508</v>
      </c>
      <c r="E188" s="19">
        <v>45649</v>
      </c>
      <c r="F188" s="18">
        <v>10</v>
      </c>
      <c r="G188" s="20">
        <v>0.7</v>
      </c>
      <c r="H188" s="18">
        <f t="shared" ca="1" si="9"/>
        <v>72</v>
      </c>
      <c r="I188" s="18">
        <f t="shared" ca="1" si="10"/>
        <v>101</v>
      </c>
      <c r="J188" s="15">
        <f ca="1">K188-L188</f>
        <v>350.5</v>
      </c>
      <c r="K188" s="15">
        <v>408.5</v>
      </c>
      <c r="L188" s="15">
        <f ca="1">RANDBETWEEN(30,87)</f>
        <v>58</v>
      </c>
      <c r="M188" s="11">
        <f ca="1">(L188/J188)</f>
        <v>0.16547788873038516</v>
      </c>
      <c r="N188" s="18">
        <v>100</v>
      </c>
      <c r="O188" s="18" t="str">
        <f t="shared" ca="1" si="11"/>
        <v>Understocked</v>
      </c>
      <c r="P188" s="11" t="str">
        <f ca="1">RANDBETWEEN(30,76)&amp;"%"</f>
        <v>57%</v>
      </c>
      <c r="Q188" s="18">
        <f>PRODUCT(K188,N188)</f>
        <v>40850</v>
      </c>
    </row>
    <row r="189" spans="1:17" x14ac:dyDescent="0.45">
      <c r="A189" s="6" t="s">
        <v>386</v>
      </c>
      <c r="B189" s="9" t="s">
        <v>383</v>
      </c>
      <c r="C189" s="6" t="s">
        <v>212</v>
      </c>
      <c r="D189" s="18">
        <f ca="1">RANDBETWEEN(500,1000)</f>
        <v>960</v>
      </c>
      <c r="E189" s="19">
        <v>45591</v>
      </c>
      <c r="F189" s="18">
        <v>70</v>
      </c>
      <c r="G189" s="20">
        <v>0.48</v>
      </c>
      <c r="H189" s="18">
        <f t="shared" ca="1" si="9"/>
        <v>61</v>
      </c>
      <c r="I189" s="18">
        <f t="shared" ca="1" si="10"/>
        <v>148</v>
      </c>
      <c r="J189" s="15">
        <f ca="1">K189-L189</f>
        <v>654</v>
      </c>
      <c r="K189" s="15">
        <v>688</v>
      </c>
      <c r="L189" s="15">
        <f ca="1">RANDBETWEEN(30,87)</f>
        <v>34</v>
      </c>
      <c r="M189" s="11">
        <f ca="1">(L189/J189)</f>
        <v>5.1987767584097858E-2</v>
      </c>
      <c r="N189" s="18">
        <v>62</v>
      </c>
      <c r="O189" s="18" t="str">
        <f t="shared" ca="1" si="11"/>
        <v>Optimal</v>
      </c>
      <c r="P189" s="11" t="str">
        <f ca="1">RANDBETWEEN(30,76)&amp;"%"</f>
        <v>65%</v>
      </c>
      <c r="Q189" s="18">
        <f>PRODUCT(K189,N189)</f>
        <v>42656</v>
      </c>
    </row>
    <row r="190" spans="1:17" x14ac:dyDescent="0.45">
      <c r="A190" s="6" t="s">
        <v>387</v>
      </c>
      <c r="B190" s="9" t="s">
        <v>383</v>
      </c>
      <c r="C190" s="6" t="s">
        <v>212</v>
      </c>
      <c r="D190" s="18">
        <f ca="1">RANDBETWEEN(500,1000)</f>
        <v>515</v>
      </c>
      <c r="E190" s="19">
        <v>45384</v>
      </c>
      <c r="F190" s="18">
        <v>63</v>
      </c>
      <c r="G190" s="20">
        <v>0.86</v>
      </c>
      <c r="H190" s="18">
        <f t="shared" ca="1" si="9"/>
        <v>68</v>
      </c>
      <c r="I190" s="18">
        <f t="shared" ca="1" si="10"/>
        <v>182</v>
      </c>
      <c r="J190" s="15">
        <f ca="1">K190-L190</f>
        <v>779</v>
      </c>
      <c r="K190" s="15">
        <v>817</v>
      </c>
      <c r="L190" s="15">
        <f ca="1">RANDBETWEEN(30,87)</f>
        <v>38</v>
      </c>
      <c r="M190" s="11">
        <f ca="1">(L190/J190)</f>
        <v>4.878048780487805E-2</v>
      </c>
      <c r="N190" s="18">
        <v>67</v>
      </c>
      <c r="O190" s="18" t="str">
        <f t="shared" ca="1" si="11"/>
        <v>Understocked</v>
      </c>
      <c r="P190" s="11" t="str">
        <f ca="1">RANDBETWEEN(30,76)&amp;"%"</f>
        <v>49%</v>
      </c>
      <c r="Q190" s="18">
        <f>PRODUCT(K190,N190)</f>
        <v>54739</v>
      </c>
    </row>
    <row r="191" spans="1:17" x14ac:dyDescent="0.45">
      <c r="A191" s="6" t="s">
        <v>388</v>
      </c>
      <c r="B191" s="9" t="s">
        <v>383</v>
      </c>
      <c r="C191" s="6" t="s">
        <v>212</v>
      </c>
      <c r="D191" s="18">
        <f ca="1">RANDBETWEEN(500,1000)</f>
        <v>977</v>
      </c>
      <c r="E191" s="19">
        <v>45368</v>
      </c>
      <c r="F191" s="18">
        <v>22</v>
      </c>
      <c r="G191" s="20">
        <v>0.44</v>
      </c>
      <c r="H191" s="18">
        <f t="shared" ca="1" si="9"/>
        <v>73</v>
      </c>
      <c r="I191" s="18">
        <f t="shared" ca="1" si="10"/>
        <v>80</v>
      </c>
      <c r="J191" s="15">
        <f ca="1">K191-L191</f>
        <v>105.4</v>
      </c>
      <c r="K191" s="15">
        <v>163.4</v>
      </c>
      <c r="L191" s="15">
        <f ca="1">RANDBETWEEN(30,87)</f>
        <v>58</v>
      </c>
      <c r="M191" s="11">
        <f ca="1">(L191/J191)</f>
        <v>0.55028462998102468</v>
      </c>
      <c r="N191" s="18">
        <v>88</v>
      </c>
      <c r="O191" s="18" t="str">
        <f t="shared" ca="1" si="11"/>
        <v>Understocked</v>
      </c>
      <c r="P191" s="11" t="str">
        <f ca="1">RANDBETWEEN(30,76)&amp;"%"</f>
        <v>36%</v>
      </c>
      <c r="Q191" s="18">
        <f>PRODUCT(K191,N191)</f>
        <v>14379.2</v>
      </c>
    </row>
    <row r="192" spans="1:17" x14ac:dyDescent="0.45">
      <c r="A192" s="6" t="s">
        <v>389</v>
      </c>
      <c r="B192" s="9" t="s">
        <v>383</v>
      </c>
      <c r="C192" s="6" t="s">
        <v>212</v>
      </c>
      <c r="D192" s="18">
        <f ca="1">RANDBETWEEN(500,1000)</f>
        <v>805</v>
      </c>
      <c r="E192" s="19">
        <v>45530</v>
      </c>
      <c r="F192" s="18">
        <v>83</v>
      </c>
      <c r="G192" s="20">
        <v>0.73</v>
      </c>
      <c r="H192" s="18">
        <f t="shared" ca="1" si="9"/>
        <v>58</v>
      </c>
      <c r="I192" s="18">
        <f t="shared" ca="1" si="10"/>
        <v>75</v>
      </c>
      <c r="J192" s="15">
        <f ca="1">K192-L192</f>
        <v>1232</v>
      </c>
      <c r="K192" s="15">
        <v>1290</v>
      </c>
      <c r="L192" s="15">
        <f ca="1">RANDBETWEEN(30,87)</f>
        <v>58</v>
      </c>
      <c r="M192" s="11">
        <f ca="1">(L192/J192)</f>
        <v>4.707792207792208E-2</v>
      </c>
      <c r="N192" s="18">
        <v>94</v>
      </c>
      <c r="O192" s="18" t="str">
        <f t="shared" ca="1" si="11"/>
        <v>Optimal</v>
      </c>
      <c r="P192" s="11" t="str">
        <f ca="1">RANDBETWEEN(30,76)&amp;"%"</f>
        <v>55%</v>
      </c>
      <c r="Q192" s="18">
        <f>PRODUCT(K192,N192)</f>
        <v>121260</v>
      </c>
    </row>
    <row r="193" spans="1:17" x14ac:dyDescent="0.45">
      <c r="A193" s="6" t="s">
        <v>390</v>
      </c>
      <c r="B193" s="9" t="s">
        <v>391</v>
      </c>
      <c r="C193" s="6" t="s">
        <v>212</v>
      </c>
      <c r="D193" s="18">
        <f ca="1">RANDBETWEEN(500,1000)</f>
        <v>560</v>
      </c>
      <c r="E193" s="19">
        <v>45490</v>
      </c>
      <c r="F193" s="18">
        <v>37</v>
      </c>
      <c r="G193" s="20">
        <v>0.34</v>
      </c>
      <c r="H193" s="18">
        <f t="shared" ca="1" si="9"/>
        <v>78</v>
      </c>
      <c r="I193" s="18">
        <f t="shared" ca="1" si="10"/>
        <v>147</v>
      </c>
      <c r="J193" s="15">
        <f ca="1">K193-L193</f>
        <v>321.59999999999997</v>
      </c>
      <c r="K193" s="15">
        <v>352.59999999999997</v>
      </c>
      <c r="L193" s="15">
        <f ca="1">RANDBETWEEN(30,87)</f>
        <v>31</v>
      </c>
      <c r="M193" s="11">
        <f ca="1">(L193/J193)</f>
        <v>9.6393034825870652E-2</v>
      </c>
      <c r="N193" s="18">
        <v>90</v>
      </c>
      <c r="O193" s="18" t="str">
        <f t="shared" ca="1" si="11"/>
        <v>Understocked</v>
      </c>
      <c r="P193" s="11" t="str">
        <f ca="1">RANDBETWEEN(30,76)&amp;"%"</f>
        <v>46%</v>
      </c>
      <c r="Q193" s="18">
        <f>PRODUCT(K193,N193)</f>
        <v>31733.999999999996</v>
      </c>
    </row>
    <row r="194" spans="1:17" x14ac:dyDescent="0.45">
      <c r="A194" s="6" t="s">
        <v>392</v>
      </c>
      <c r="B194" s="9" t="s">
        <v>391</v>
      </c>
      <c r="C194" s="6" t="s">
        <v>212</v>
      </c>
      <c r="D194" s="18">
        <f ca="1">RANDBETWEEN(500,1000)</f>
        <v>935</v>
      </c>
      <c r="E194" s="19">
        <v>45693</v>
      </c>
      <c r="F194" s="18">
        <v>77</v>
      </c>
      <c r="G194" s="20">
        <v>0.44</v>
      </c>
      <c r="H194" s="18">
        <f t="shared" ca="1" si="9"/>
        <v>74</v>
      </c>
      <c r="I194" s="18">
        <f t="shared" ca="1" si="10"/>
        <v>149</v>
      </c>
      <c r="J194" s="15">
        <f ca="1">K194-L194</f>
        <v>392</v>
      </c>
      <c r="K194" s="15">
        <v>430</v>
      </c>
      <c r="L194" s="15">
        <f ca="1">RANDBETWEEN(30,87)</f>
        <v>38</v>
      </c>
      <c r="M194" s="11">
        <f ca="1">(L194/J194)</f>
        <v>9.6938775510204078E-2</v>
      </c>
      <c r="N194" s="18">
        <v>58</v>
      </c>
      <c r="O194" s="18" t="str">
        <f t="shared" ca="1" si="11"/>
        <v>Optimal</v>
      </c>
      <c r="P194" s="11" t="str">
        <f ca="1">RANDBETWEEN(30,76)&amp;"%"</f>
        <v>32%</v>
      </c>
      <c r="Q194" s="18">
        <f>PRODUCT(K194,N194)</f>
        <v>24940</v>
      </c>
    </row>
    <row r="195" spans="1:17" x14ac:dyDescent="0.45">
      <c r="A195" s="6" t="s">
        <v>394</v>
      </c>
      <c r="B195" s="9" t="s">
        <v>391</v>
      </c>
      <c r="C195" s="6" t="s">
        <v>212</v>
      </c>
      <c r="D195" s="18">
        <f ca="1">RANDBETWEEN(500,1000)</f>
        <v>739</v>
      </c>
      <c r="E195" s="19">
        <v>45521</v>
      </c>
      <c r="F195" s="18">
        <v>70</v>
      </c>
      <c r="G195" s="20">
        <v>0.44</v>
      </c>
      <c r="H195" s="18">
        <f t="shared" ca="1" si="9"/>
        <v>62</v>
      </c>
      <c r="I195" s="18">
        <f t="shared" ca="1" si="10"/>
        <v>81</v>
      </c>
      <c r="J195" s="15">
        <f ca="1">K195-L195</f>
        <v>719</v>
      </c>
      <c r="K195" s="15">
        <v>774</v>
      </c>
      <c r="L195" s="15">
        <f ca="1">RANDBETWEEN(30,87)</f>
        <v>55</v>
      </c>
      <c r="M195" s="11">
        <f ca="1">(L195/J195)</f>
        <v>7.6495132127955487E-2</v>
      </c>
      <c r="N195" s="18">
        <v>95</v>
      </c>
      <c r="O195" s="18" t="str">
        <f t="shared" ca="1" si="11"/>
        <v>Optimal</v>
      </c>
      <c r="P195" s="11" t="str">
        <f ca="1">RANDBETWEEN(30,76)&amp;"%"</f>
        <v>30%</v>
      </c>
      <c r="Q195" s="18">
        <f>PRODUCT(K195,N195)</f>
        <v>73530</v>
      </c>
    </row>
    <row r="196" spans="1:17" x14ac:dyDescent="0.45">
      <c r="A196" s="6" t="s">
        <v>395</v>
      </c>
      <c r="B196" s="9" t="s">
        <v>391</v>
      </c>
      <c r="C196" s="6" t="s">
        <v>212</v>
      </c>
      <c r="D196" s="18">
        <f ca="1">RANDBETWEEN(500,1000)</f>
        <v>861</v>
      </c>
      <c r="E196" s="19">
        <v>45625</v>
      </c>
      <c r="F196" s="18">
        <v>44</v>
      </c>
      <c r="G196" s="20">
        <v>0.51</v>
      </c>
      <c r="H196" s="18">
        <f t="shared" ca="1" si="9"/>
        <v>54</v>
      </c>
      <c r="I196" s="18">
        <f t="shared" ca="1" si="10"/>
        <v>72</v>
      </c>
      <c r="J196" s="15">
        <f ca="1">K196-L196</f>
        <v>212.60000000000002</v>
      </c>
      <c r="K196" s="15">
        <v>266.60000000000002</v>
      </c>
      <c r="L196" s="15">
        <f ca="1">RANDBETWEEN(30,87)</f>
        <v>54</v>
      </c>
      <c r="M196" s="11">
        <f ca="1">(L196/J196)</f>
        <v>0.2539981185324553</v>
      </c>
      <c r="N196" s="18">
        <v>96</v>
      </c>
      <c r="O196" s="18" t="str">
        <f t="shared" ca="1" si="11"/>
        <v>Understocked</v>
      </c>
      <c r="P196" s="11" t="str">
        <f ca="1">RANDBETWEEN(30,76)&amp;"%"</f>
        <v>41%</v>
      </c>
      <c r="Q196" s="18">
        <f>PRODUCT(K196,N196)</f>
        <v>25593.600000000002</v>
      </c>
    </row>
    <row r="197" spans="1:17" x14ac:dyDescent="0.45">
      <c r="A197" s="6" t="s">
        <v>397</v>
      </c>
      <c r="B197" s="9" t="s">
        <v>391</v>
      </c>
      <c r="C197" s="6" t="s">
        <v>212</v>
      </c>
      <c r="D197" s="18">
        <f ca="1">RANDBETWEEN(500,1000)</f>
        <v>722</v>
      </c>
      <c r="E197" s="19">
        <v>45617</v>
      </c>
      <c r="F197" s="18">
        <v>52</v>
      </c>
      <c r="G197" s="20">
        <v>0.5</v>
      </c>
      <c r="H197" s="18">
        <f t="shared" ca="1" si="9"/>
        <v>76</v>
      </c>
      <c r="I197" s="18">
        <f t="shared" ca="1" si="10"/>
        <v>187</v>
      </c>
      <c r="J197" s="15">
        <f ca="1">K197-L197</f>
        <v>179</v>
      </c>
      <c r="K197" s="15">
        <v>215</v>
      </c>
      <c r="L197" s="15">
        <f ca="1">RANDBETWEEN(30,87)</f>
        <v>36</v>
      </c>
      <c r="M197" s="11">
        <f ca="1">(L197/J197)</f>
        <v>0.2011173184357542</v>
      </c>
      <c r="N197" s="18">
        <v>77</v>
      </c>
      <c r="O197" s="18" t="str">
        <f t="shared" ca="1" si="11"/>
        <v>Understocked</v>
      </c>
      <c r="P197" s="11" t="str">
        <f ca="1">RANDBETWEEN(30,76)&amp;"%"</f>
        <v>76%</v>
      </c>
      <c r="Q197" s="18">
        <f>PRODUCT(K197,N197)</f>
        <v>16555</v>
      </c>
    </row>
    <row r="198" spans="1:17" x14ac:dyDescent="0.45">
      <c r="A198" s="6" t="s">
        <v>398</v>
      </c>
      <c r="B198" s="9" t="s">
        <v>391</v>
      </c>
      <c r="C198" s="6" t="s">
        <v>212</v>
      </c>
      <c r="D198" s="18">
        <f ca="1">RANDBETWEEN(500,1000)</f>
        <v>546</v>
      </c>
      <c r="E198" s="19">
        <v>45709</v>
      </c>
      <c r="F198" s="18">
        <v>23</v>
      </c>
      <c r="G198" s="20">
        <v>0.6</v>
      </c>
      <c r="H198" s="18">
        <f t="shared" ca="1" si="9"/>
        <v>59</v>
      </c>
      <c r="I198" s="18">
        <f t="shared" ca="1" si="10"/>
        <v>150</v>
      </c>
      <c r="J198" s="15">
        <f ca="1">K198-L198</f>
        <v>197.4</v>
      </c>
      <c r="K198" s="15">
        <v>249.4</v>
      </c>
      <c r="L198" s="15">
        <f ca="1">RANDBETWEEN(30,87)</f>
        <v>52</v>
      </c>
      <c r="M198" s="11">
        <f ca="1">(L198/J198)</f>
        <v>0.26342451874366768</v>
      </c>
      <c r="N198" s="18">
        <v>84</v>
      </c>
      <c r="O198" s="18" t="str">
        <f t="shared" ca="1" si="11"/>
        <v>Understocked</v>
      </c>
      <c r="P198" s="11" t="str">
        <f ca="1">RANDBETWEEN(30,76)&amp;"%"</f>
        <v>34%</v>
      </c>
      <c r="Q198" s="18">
        <f>PRODUCT(K198,N198)</f>
        <v>20949.600000000002</v>
      </c>
    </row>
    <row r="199" spans="1:17" x14ac:dyDescent="0.45">
      <c r="A199" s="6" t="s">
        <v>399</v>
      </c>
      <c r="B199" s="9" t="s">
        <v>391</v>
      </c>
      <c r="C199" s="6" t="s">
        <v>212</v>
      </c>
      <c r="D199" s="18">
        <f ca="1">RANDBETWEEN(500,1000)</f>
        <v>741</v>
      </c>
      <c r="E199" s="19">
        <v>45691</v>
      </c>
      <c r="F199" s="18">
        <v>41</v>
      </c>
      <c r="G199" s="20">
        <v>0.85</v>
      </c>
      <c r="H199" s="18">
        <f t="shared" ca="1" si="9"/>
        <v>57</v>
      </c>
      <c r="I199" s="18">
        <f t="shared" ca="1" si="10"/>
        <v>179</v>
      </c>
      <c r="J199" s="15">
        <f ca="1">K199-L199</f>
        <v>1222</v>
      </c>
      <c r="K199" s="15">
        <v>1290</v>
      </c>
      <c r="L199" s="15">
        <f ca="1">RANDBETWEEN(30,87)</f>
        <v>68</v>
      </c>
      <c r="M199" s="11">
        <f ca="1">(L199/J199)</f>
        <v>5.5646481178396073E-2</v>
      </c>
      <c r="N199" s="18">
        <v>30</v>
      </c>
      <c r="O199" s="18" t="str">
        <f t="shared" ca="1" si="11"/>
        <v>Understocked</v>
      </c>
      <c r="P199" s="11" t="str">
        <f ca="1">RANDBETWEEN(30,76)&amp;"%"</f>
        <v>44%</v>
      </c>
      <c r="Q199" s="18">
        <f>PRODUCT(K199,N199)</f>
        <v>38700</v>
      </c>
    </row>
    <row r="200" spans="1:17" x14ac:dyDescent="0.45">
      <c r="A200" s="6" t="s">
        <v>400</v>
      </c>
      <c r="B200" s="9" t="s">
        <v>401</v>
      </c>
      <c r="C200" s="6" t="s">
        <v>212</v>
      </c>
      <c r="D200" s="18">
        <f ca="1">RANDBETWEEN(500,1000)</f>
        <v>582</v>
      </c>
      <c r="E200" s="19">
        <v>45569</v>
      </c>
      <c r="F200" s="18">
        <v>60</v>
      </c>
      <c r="G200" s="20">
        <v>0.84</v>
      </c>
      <c r="H200" s="18">
        <f t="shared" ca="1" si="9"/>
        <v>56</v>
      </c>
      <c r="I200" s="18">
        <f t="shared" ca="1" si="10"/>
        <v>174</v>
      </c>
      <c r="J200" s="15">
        <f ca="1">K200-L200</f>
        <v>276</v>
      </c>
      <c r="K200" s="15">
        <v>344</v>
      </c>
      <c r="L200" s="15">
        <f ca="1">RANDBETWEEN(30,87)</f>
        <v>68</v>
      </c>
      <c r="M200" s="11">
        <f ca="1">(L200/J200)</f>
        <v>0.24637681159420291</v>
      </c>
      <c r="N200" s="18">
        <v>77</v>
      </c>
      <c r="O200" s="18" t="str">
        <f t="shared" ca="1" si="11"/>
        <v>Optimal</v>
      </c>
      <c r="P200" s="11" t="str">
        <f ca="1">RANDBETWEEN(30,76)&amp;"%"</f>
        <v>36%</v>
      </c>
      <c r="Q200" s="18">
        <f>PRODUCT(K200,N200)</f>
        <v>26488</v>
      </c>
    </row>
    <row r="201" spans="1:17" x14ac:dyDescent="0.45">
      <c r="A201" s="6" t="s">
        <v>402</v>
      </c>
      <c r="B201" s="9" t="s">
        <v>401</v>
      </c>
      <c r="C201" s="6" t="s">
        <v>212</v>
      </c>
      <c r="D201" s="18">
        <f ca="1">RANDBETWEEN(500,1000)</f>
        <v>516</v>
      </c>
      <c r="E201" s="19">
        <v>45415</v>
      </c>
      <c r="F201" s="18">
        <v>90</v>
      </c>
      <c r="G201" s="20">
        <v>0.79</v>
      </c>
      <c r="H201" s="18">
        <f t="shared" ca="1" si="9"/>
        <v>55</v>
      </c>
      <c r="I201" s="18">
        <f t="shared" ca="1" si="10"/>
        <v>121</v>
      </c>
      <c r="J201" s="15">
        <f ca="1">K201-L201</f>
        <v>97</v>
      </c>
      <c r="K201" s="15">
        <v>172</v>
      </c>
      <c r="L201" s="15">
        <f ca="1">RANDBETWEEN(30,87)</f>
        <v>75</v>
      </c>
      <c r="M201" s="11">
        <f ca="1">(L201/J201)</f>
        <v>0.77319587628865982</v>
      </c>
      <c r="N201" s="18">
        <v>51</v>
      </c>
      <c r="O201" s="18" t="str">
        <f t="shared" ca="1" si="11"/>
        <v>Optimal</v>
      </c>
      <c r="P201" s="11" t="str">
        <f ca="1">RANDBETWEEN(30,76)&amp;"%"</f>
        <v>57%</v>
      </c>
      <c r="Q201" s="18">
        <f>PRODUCT(K201,N201)</f>
        <v>8772</v>
      </c>
    </row>
    <row r="202" spans="1:17" x14ac:dyDescent="0.45">
      <c r="A202" s="6" t="s">
        <v>403</v>
      </c>
      <c r="B202" s="9" t="s">
        <v>401</v>
      </c>
      <c r="C202" s="6" t="s">
        <v>212</v>
      </c>
      <c r="D202" s="18">
        <f ca="1">RANDBETWEEN(500,1000)</f>
        <v>570</v>
      </c>
      <c r="E202" s="19">
        <v>45534</v>
      </c>
      <c r="F202" s="18">
        <v>43</v>
      </c>
      <c r="G202" s="20">
        <v>0.32</v>
      </c>
      <c r="H202" s="18">
        <f t="shared" ca="1" si="9"/>
        <v>67</v>
      </c>
      <c r="I202" s="18">
        <f t="shared" ca="1" si="10"/>
        <v>121</v>
      </c>
      <c r="J202" s="15">
        <f ca="1">K202-L202</f>
        <v>1651</v>
      </c>
      <c r="K202" s="15">
        <v>1720</v>
      </c>
      <c r="L202" s="15">
        <f ca="1">RANDBETWEEN(30,87)</f>
        <v>69</v>
      </c>
      <c r="M202" s="11">
        <f ca="1">(L202/J202)</f>
        <v>4.1792852816474865E-2</v>
      </c>
      <c r="N202" s="18">
        <v>48</v>
      </c>
      <c r="O202" s="18" t="str">
        <f t="shared" ca="1" si="11"/>
        <v>Understocked</v>
      </c>
      <c r="P202" s="11" t="str">
        <f ca="1">RANDBETWEEN(30,76)&amp;"%"</f>
        <v>73%</v>
      </c>
      <c r="Q202" s="18">
        <f>PRODUCT(K202,N202)</f>
        <v>82560</v>
      </c>
    </row>
    <row r="203" spans="1:17" x14ac:dyDescent="0.45">
      <c r="A203" s="6" t="s">
        <v>404</v>
      </c>
      <c r="B203" s="9" t="s">
        <v>401</v>
      </c>
      <c r="C203" s="6" t="s">
        <v>212</v>
      </c>
      <c r="D203" s="18">
        <f ca="1">RANDBETWEEN(500,1000)</f>
        <v>931</v>
      </c>
      <c r="E203" s="19">
        <v>45676</v>
      </c>
      <c r="F203" s="18">
        <v>35</v>
      </c>
      <c r="G203" s="20">
        <v>0.77</v>
      </c>
      <c r="H203" s="18">
        <f t="shared" ca="1" si="9"/>
        <v>73</v>
      </c>
      <c r="I203" s="18">
        <f t="shared" ca="1" si="10"/>
        <v>112</v>
      </c>
      <c r="J203" s="15">
        <f ca="1">K203-L203</f>
        <v>691</v>
      </c>
      <c r="K203" s="15">
        <v>774</v>
      </c>
      <c r="L203" s="15">
        <f ca="1">RANDBETWEEN(30,87)</f>
        <v>83</v>
      </c>
      <c r="M203" s="11">
        <f ca="1">(L203/J203)</f>
        <v>0.12011577424023155</v>
      </c>
      <c r="N203" s="18">
        <v>95</v>
      </c>
      <c r="O203" s="18" t="str">
        <f t="shared" ca="1" si="11"/>
        <v>Understocked</v>
      </c>
      <c r="P203" s="11" t="str">
        <f ca="1">RANDBETWEEN(30,76)&amp;"%"</f>
        <v>60%</v>
      </c>
      <c r="Q203" s="18">
        <f>PRODUCT(K203,N203)</f>
        <v>73530</v>
      </c>
    </row>
    <row r="204" spans="1:17" x14ac:dyDescent="0.45">
      <c r="A204" s="6" t="s">
        <v>405</v>
      </c>
      <c r="B204" s="9" t="s">
        <v>401</v>
      </c>
      <c r="C204" s="6" t="s">
        <v>212</v>
      </c>
      <c r="D204" s="18">
        <f ca="1">RANDBETWEEN(500,1000)</f>
        <v>846</v>
      </c>
      <c r="E204" s="19">
        <v>45391</v>
      </c>
      <c r="F204" s="18">
        <v>44</v>
      </c>
      <c r="G204" s="20">
        <v>0.77</v>
      </c>
      <c r="H204" s="18">
        <f t="shared" ca="1" si="9"/>
        <v>77</v>
      </c>
      <c r="I204" s="18">
        <f t="shared" ca="1" si="10"/>
        <v>172</v>
      </c>
      <c r="J204" s="15">
        <f ca="1">K204-L204</f>
        <v>153</v>
      </c>
      <c r="K204" s="15">
        <v>215</v>
      </c>
      <c r="L204" s="15">
        <f ca="1">RANDBETWEEN(30,87)</f>
        <v>62</v>
      </c>
      <c r="M204" s="11">
        <f ca="1">(L204/J204)</f>
        <v>0.40522875816993464</v>
      </c>
      <c r="N204" s="18">
        <v>21</v>
      </c>
      <c r="O204" s="18" t="str">
        <f t="shared" ca="1" si="11"/>
        <v>Understocked</v>
      </c>
      <c r="P204" s="11" t="str">
        <f ca="1">RANDBETWEEN(30,76)&amp;"%"</f>
        <v>37%</v>
      </c>
      <c r="Q204" s="18">
        <f>PRODUCT(K204,N204)</f>
        <v>4515</v>
      </c>
    </row>
    <row r="205" spans="1:17" x14ac:dyDescent="0.45">
      <c r="A205" s="6" t="s">
        <v>406</v>
      </c>
      <c r="B205" s="9" t="s">
        <v>401</v>
      </c>
      <c r="C205" s="6" t="s">
        <v>212</v>
      </c>
      <c r="D205" s="18">
        <f ca="1">RANDBETWEEN(500,1000)</f>
        <v>660</v>
      </c>
      <c r="E205" s="19">
        <v>45564</v>
      </c>
      <c r="F205" s="18">
        <v>88</v>
      </c>
      <c r="G205" s="20">
        <v>0.88</v>
      </c>
      <c r="H205" s="18">
        <f t="shared" ca="1" si="9"/>
        <v>74</v>
      </c>
      <c r="I205" s="18">
        <f t="shared" ca="1" si="10"/>
        <v>109</v>
      </c>
      <c r="J205" s="15">
        <f ca="1">K205-L205</f>
        <v>283</v>
      </c>
      <c r="K205" s="15">
        <v>344</v>
      </c>
      <c r="L205" s="15">
        <f ca="1">RANDBETWEEN(30,87)</f>
        <v>61</v>
      </c>
      <c r="M205" s="11">
        <f ca="1">(L205/J205)</f>
        <v>0.21554770318021202</v>
      </c>
      <c r="N205" s="18">
        <v>54</v>
      </c>
      <c r="O205" s="18" t="str">
        <f t="shared" ca="1" si="11"/>
        <v>Optimal</v>
      </c>
      <c r="P205" s="11" t="str">
        <f ca="1">RANDBETWEEN(30,76)&amp;"%"</f>
        <v>49%</v>
      </c>
      <c r="Q205" s="18">
        <f>PRODUCT(K205,N205)</f>
        <v>18576</v>
      </c>
    </row>
    <row r="206" spans="1:17" x14ac:dyDescent="0.45">
      <c r="A206" s="6" t="s">
        <v>407</v>
      </c>
      <c r="B206" s="9" t="s">
        <v>401</v>
      </c>
      <c r="C206" s="6" t="s">
        <v>212</v>
      </c>
      <c r="D206" s="18">
        <f ca="1">RANDBETWEEN(500,1000)</f>
        <v>690</v>
      </c>
      <c r="E206" s="19">
        <v>45353</v>
      </c>
      <c r="F206" s="18">
        <v>50</v>
      </c>
      <c r="G206" s="20">
        <v>0.72</v>
      </c>
      <c r="H206" s="18">
        <f t="shared" ca="1" si="9"/>
        <v>58</v>
      </c>
      <c r="I206" s="18">
        <f t="shared" ca="1" si="10"/>
        <v>87</v>
      </c>
      <c r="J206" s="15">
        <f ca="1">K206-L206</f>
        <v>453</v>
      </c>
      <c r="K206" s="15">
        <v>516</v>
      </c>
      <c r="L206" s="15">
        <f ca="1">RANDBETWEEN(30,87)</f>
        <v>63</v>
      </c>
      <c r="M206" s="11">
        <f ca="1">(L206/J206)</f>
        <v>0.13907284768211919</v>
      </c>
      <c r="N206" s="18">
        <v>78</v>
      </c>
      <c r="O206" s="18" t="str">
        <f t="shared" ca="1" si="11"/>
        <v>Understocked</v>
      </c>
      <c r="P206" s="11" t="str">
        <f ca="1">RANDBETWEEN(30,76)&amp;"%"</f>
        <v>60%</v>
      </c>
      <c r="Q206" s="18">
        <f>PRODUCT(K206,N206)</f>
        <v>40248</v>
      </c>
    </row>
    <row r="207" spans="1:17" x14ac:dyDescent="0.45">
      <c r="A207" s="6" t="s">
        <v>408</v>
      </c>
      <c r="B207" s="9" t="s">
        <v>401</v>
      </c>
      <c r="C207" s="6" t="s">
        <v>212</v>
      </c>
      <c r="D207" s="18">
        <f ca="1">RANDBETWEEN(500,1000)</f>
        <v>895</v>
      </c>
      <c r="E207" s="19">
        <v>45633</v>
      </c>
      <c r="F207" s="18">
        <v>50</v>
      </c>
      <c r="G207" s="20">
        <v>0.52</v>
      </c>
      <c r="H207" s="18">
        <f t="shared" ca="1" si="9"/>
        <v>59</v>
      </c>
      <c r="I207" s="18">
        <f t="shared" ca="1" si="10"/>
        <v>157</v>
      </c>
      <c r="J207" s="15">
        <f ca="1">K207-L207</f>
        <v>334</v>
      </c>
      <c r="K207" s="15">
        <v>387</v>
      </c>
      <c r="L207" s="15">
        <f ca="1">RANDBETWEEN(30,87)</f>
        <v>53</v>
      </c>
      <c r="M207" s="11">
        <f ca="1">(L207/J207)</f>
        <v>0.15868263473053892</v>
      </c>
      <c r="N207" s="18">
        <v>76</v>
      </c>
      <c r="O207" s="18" t="str">
        <f t="shared" ca="1" si="11"/>
        <v>Understocked</v>
      </c>
      <c r="P207" s="11" t="str">
        <f ca="1">RANDBETWEEN(30,76)&amp;"%"</f>
        <v>37%</v>
      </c>
      <c r="Q207" s="18">
        <f>PRODUCT(K207,N207)</f>
        <v>29412</v>
      </c>
    </row>
    <row r="208" spans="1:17" x14ac:dyDescent="0.45">
      <c r="A208" s="6" t="s">
        <v>409</v>
      </c>
      <c r="B208" s="9" t="s">
        <v>401</v>
      </c>
      <c r="C208" s="6" t="s">
        <v>212</v>
      </c>
      <c r="D208" s="18">
        <f ca="1">RANDBETWEEN(500,1000)</f>
        <v>810</v>
      </c>
      <c r="E208" s="19">
        <v>45428</v>
      </c>
      <c r="F208" s="18">
        <v>72</v>
      </c>
      <c r="G208" s="20">
        <v>0.48</v>
      </c>
      <c r="H208" s="18">
        <f t="shared" ca="1" si="9"/>
        <v>56</v>
      </c>
      <c r="I208" s="18">
        <f t="shared" ca="1" si="10"/>
        <v>70</v>
      </c>
      <c r="J208" s="15">
        <f ca="1">K208-L208</f>
        <v>183</v>
      </c>
      <c r="K208" s="15">
        <v>258</v>
      </c>
      <c r="L208" s="15">
        <f ca="1">RANDBETWEEN(30,87)</f>
        <v>75</v>
      </c>
      <c r="M208" s="11">
        <f ca="1">(L208/J208)</f>
        <v>0.4098360655737705</v>
      </c>
      <c r="N208" s="18">
        <v>36</v>
      </c>
      <c r="O208" s="18" t="str">
        <f t="shared" ca="1" si="11"/>
        <v>Optimal</v>
      </c>
      <c r="P208" s="11" t="str">
        <f ca="1">RANDBETWEEN(30,76)&amp;"%"</f>
        <v>44%</v>
      </c>
      <c r="Q208" s="18">
        <f>PRODUCT(K208,N208)</f>
        <v>9288</v>
      </c>
    </row>
    <row r="209" spans="1:17" x14ac:dyDescent="0.45">
      <c r="A209" s="6" t="s">
        <v>410</v>
      </c>
      <c r="B209" s="9" t="s">
        <v>401</v>
      </c>
      <c r="C209" s="6" t="s">
        <v>212</v>
      </c>
      <c r="D209" s="18">
        <f ca="1">RANDBETWEEN(500,1000)</f>
        <v>824</v>
      </c>
      <c r="E209" s="19">
        <v>45558</v>
      </c>
      <c r="F209" s="18">
        <v>40</v>
      </c>
      <c r="G209" s="20">
        <v>0.35</v>
      </c>
      <c r="H209" s="18">
        <f t="shared" ca="1" si="9"/>
        <v>50</v>
      </c>
      <c r="I209" s="18">
        <f t="shared" ca="1" si="10"/>
        <v>178</v>
      </c>
      <c r="J209" s="15">
        <f ca="1">K209-L209</f>
        <v>155</v>
      </c>
      <c r="K209" s="15">
        <v>215</v>
      </c>
      <c r="L209" s="15">
        <f ca="1">RANDBETWEEN(30,87)</f>
        <v>60</v>
      </c>
      <c r="M209" s="11">
        <f ca="1">(L209/J209)</f>
        <v>0.38709677419354838</v>
      </c>
      <c r="N209" s="18">
        <v>76</v>
      </c>
      <c r="O209" s="18" t="str">
        <f t="shared" ca="1" si="11"/>
        <v>Understocked</v>
      </c>
      <c r="P209" s="11" t="str">
        <f ca="1">RANDBETWEEN(30,76)&amp;"%"</f>
        <v>72%</v>
      </c>
      <c r="Q209" s="18">
        <f>PRODUCT(K209,N209)</f>
        <v>16340</v>
      </c>
    </row>
    <row r="210" spans="1:17" x14ac:dyDescent="0.45">
      <c r="A210" s="6" t="s">
        <v>411</v>
      </c>
      <c r="B210" s="9" t="s">
        <v>401</v>
      </c>
      <c r="C210" s="6" t="s">
        <v>212</v>
      </c>
      <c r="D210" s="18">
        <f ca="1">RANDBETWEEN(500,1000)</f>
        <v>599</v>
      </c>
      <c r="E210" s="19">
        <v>45707</v>
      </c>
      <c r="F210" s="18">
        <v>14</v>
      </c>
      <c r="G210" s="20">
        <v>0.56000000000000005</v>
      </c>
      <c r="H210" s="18">
        <f t="shared" ca="1" si="9"/>
        <v>57</v>
      </c>
      <c r="I210" s="18">
        <f t="shared" ca="1" si="10"/>
        <v>185</v>
      </c>
      <c r="J210" s="15">
        <f ca="1">K210-L210</f>
        <v>118</v>
      </c>
      <c r="K210" s="15">
        <v>172</v>
      </c>
      <c r="L210" s="15">
        <f ca="1">RANDBETWEEN(30,87)</f>
        <v>54</v>
      </c>
      <c r="M210" s="11">
        <f ca="1">(L210/J210)</f>
        <v>0.4576271186440678</v>
      </c>
      <c r="N210" s="18">
        <v>59</v>
      </c>
      <c r="O210" s="18" t="str">
        <f t="shared" ca="1" si="11"/>
        <v>Understocked</v>
      </c>
      <c r="P210" s="11" t="str">
        <f ca="1">RANDBETWEEN(30,76)&amp;"%"</f>
        <v>68%</v>
      </c>
      <c r="Q210" s="18">
        <f>PRODUCT(K210,N210)</f>
        <v>10148</v>
      </c>
    </row>
    <row r="211" spans="1:17" x14ac:dyDescent="0.45">
      <c r="A211" s="6" t="s">
        <v>412</v>
      </c>
      <c r="B211" s="9" t="s">
        <v>401</v>
      </c>
      <c r="C211" s="6" t="s">
        <v>212</v>
      </c>
      <c r="D211" s="18">
        <f ca="1">RANDBETWEEN(500,1000)</f>
        <v>512</v>
      </c>
      <c r="E211" s="19">
        <v>45687</v>
      </c>
      <c r="F211" s="18">
        <v>65</v>
      </c>
      <c r="G211" s="20">
        <v>0.65</v>
      </c>
      <c r="H211" s="18">
        <f t="shared" ca="1" si="9"/>
        <v>50</v>
      </c>
      <c r="I211" s="18">
        <f t="shared" ca="1" si="10"/>
        <v>139</v>
      </c>
      <c r="J211" s="15">
        <f ca="1">K211-L211</f>
        <v>508.1</v>
      </c>
      <c r="K211" s="15">
        <v>546.1</v>
      </c>
      <c r="L211" s="15">
        <f ca="1">RANDBETWEEN(30,87)</f>
        <v>38</v>
      </c>
      <c r="M211" s="11">
        <f ca="1">(L211/J211)</f>
        <v>7.4788427474906508E-2</v>
      </c>
      <c r="N211" s="18">
        <v>66</v>
      </c>
      <c r="O211" s="18" t="str">
        <f t="shared" ca="1" si="11"/>
        <v>Optimal</v>
      </c>
      <c r="P211" s="11" t="str">
        <f ca="1">RANDBETWEEN(30,76)&amp;"%"</f>
        <v>47%</v>
      </c>
      <c r="Q211" s="18">
        <f>PRODUCT(K211,N211)</f>
        <v>36042.6</v>
      </c>
    </row>
    <row r="212" spans="1:17" x14ac:dyDescent="0.45">
      <c r="A212" s="6" t="s">
        <v>413</v>
      </c>
      <c r="B212" s="9" t="s">
        <v>401</v>
      </c>
      <c r="C212" s="6" t="s">
        <v>212</v>
      </c>
      <c r="D212" s="18">
        <f ca="1">RANDBETWEEN(500,1000)</f>
        <v>983</v>
      </c>
      <c r="E212" s="19">
        <v>45691</v>
      </c>
      <c r="F212" s="18">
        <v>97</v>
      </c>
      <c r="G212" s="20">
        <v>0.71</v>
      </c>
      <c r="H212" s="18">
        <f t="shared" ca="1" si="9"/>
        <v>71</v>
      </c>
      <c r="I212" s="18">
        <f t="shared" ca="1" si="10"/>
        <v>161</v>
      </c>
      <c r="J212" s="15">
        <f ca="1">K212-L212</f>
        <v>168</v>
      </c>
      <c r="K212" s="15">
        <v>215</v>
      </c>
      <c r="L212" s="15">
        <f ca="1">RANDBETWEEN(30,87)</f>
        <v>47</v>
      </c>
      <c r="M212" s="11">
        <f ca="1">(L212/J212)</f>
        <v>0.27976190476190477</v>
      </c>
      <c r="N212" s="18">
        <v>33</v>
      </c>
      <c r="O212" s="18" t="str">
        <f t="shared" ca="1" si="11"/>
        <v>Optimal</v>
      </c>
      <c r="P212" s="11" t="str">
        <f ca="1">RANDBETWEEN(30,76)&amp;"%"</f>
        <v>34%</v>
      </c>
      <c r="Q212" s="18">
        <f>PRODUCT(K212,N212)</f>
        <v>7095</v>
      </c>
    </row>
    <row r="213" spans="1:17" x14ac:dyDescent="0.45">
      <c r="A213" s="6" t="s">
        <v>414</v>
      </c>
      <c r="B213" s="9" t="s">
        <v>415</v>
      </c>
      <c r="C213" s="6" t="s">
        <v>212</v>
      </c>
      <c r="D213" s="18">
        <f ca="1">RANDBETWEEN(500,1000)</f>
        <v>757</v>
      </c>
      <c r="E213" s="19">
        <v>45480</v>
      </c>
      <c r="F213" s="18">
        <v>97</v>
      </c>
      <c r="G213" s="20">
        <v>0.89</v>
      </c>
      <c r="H213" s="18">
        <f t="shared" ca="1" si="9"/>
        <v>56</v>
      </c>
      <c r="I213" s="18">
        <f t="shared" ca="1" si="10"/>
        <v>72</v>
      </c>
      <c r="J213" s="15">
        <f ca="1">K213-L213</f>
        <v>431</v>
      </c>
      <c r="K213" s="15">
        <v>516</v>
      </c>
      <c r="L213" s="15">
        <f ca="1">RANDBETWEEN(30,87)</f>
        <v>85</v>
      </c>
      <c r="M213" s="11">
        <f ca="1">(L213/J213)</f>
        <v>0.19721577726218098</v>
      </c>
      <c r="N213" s="18">
        <v>97</v>
      </c>
      <c r="O213" s="18" t="str">
        <f t="shared" ca="1" si="11"/>
        <v>Optimal</v>
      </c>
      <c r="P213" s="11" t="str">
        <f ca="1">RANDBETWEEN(30,76)&amp;"%"</f>
        <v>50%</v>
      </c>
      <c r="Q213" s="18">
        <f>PRODUCT(K213,N213)</f>
        <v>50052</v>
      </c>
    </row>
    <row r="214" spans="1:17" x14ac:dyDescent="0.45">
      <c r="A214" s="6" t="s">
        <v>416</v>
      </c>
      <c r="B214" s="9" t="s">
        <v>415</v>
      </c>
      <c r="C214" s="6" t="s">
        <v>212</v>
      </c>
      <c r="D214" s="18">
        <f ca="1">RANDBETWEEN(500,1000)</f>
        <v>607</v>
      </c>
      <c r="E214" s="19">
        <v>45358</v>
      </c>
      <c r="F214" s="18">
        <v>94</v>
      </c>
      <c r="G214" s="20">
        <v>0.42</v>
      </c>
      <c r="H214" s="18">
        <f t="shared" ca="1" si="9"/>
        <v>55</v>
      </c>
      <c r="I214" s="18">
        <f t="shared" ca="1" si="10"/>
        <v>139</v>
      </c>
      <c r="J214" s="15">
        <f ca="1">K214-L214</f>
        <v>78.800000000000011</v>
      </c>
      <c r="K214" s="15">
        <v>154.80000000000001</v>
      </c>
      <c r="L214" s="15">
        <f ca="1">RANDBETWEEN(30,87)</f>
        <v>76</v>
      </c>
      <c r="M214" s="11">
        <f ca="1">(L214/J214)</f>
        <v>0.96446700507614203</v>
      </c>
      <c r="N214" s="18">
        <v>100</v>
      </c>
      <c r="O214" s="18" t="str">
        <f t="shared" ca="1" si="11"/>
        <v>Optimal</v>
      </c>
      <c r="P214" s="11" t="str">
        <f ca="1">RANDBETWEEN(30,76)&amp;"%"</f>
        <v>72%</v>
      </c>
      <c r="Q214" s="18">
        <f>PRODUCT(K214,N214)</f>
        <v>15480.000000000002</v>
      </c>
    </row>
    <row r="215" spans="1:17" x14ac:dyDescent="0.45">
      <c r="A215" s="6" t="s">
        <v>417</v>
      </c>
      <c r="B215" s="9" t="s">
        <v>415</v>
      </c>
      <c r="C215" s="6" t="s">
        <v>212</v>
      </c>
      <c r="D215" s="18">
        <f ca="1">RANDBETWEEN(500,1000)</f>
        <v>927</v>
      </c>
      <c r="E215" s="19">
        <v>45363</v>
      </c>
      <c r="F215" s="18">
        <v>34</v>
      </c>
      <c r="G215" s="20">
        <v>0.35</v>
      </c>
      <c r="H215" s="18">
        <f t="shared" ca="1" si="9"/>
        <v>70</v>
      </c>
      <c r="I215" s="18">
        <f t="shared" ca="1" si="10"/>
        <v>126</v>
      </c>
      <c r="J215" s="15">
        <f ca="1">K215-L215</f>
        <v>485</v>
      </c>
      <c r="K215" s="15">
        <v>559</v>
      </c>
      <c r="L215" s="15">
        <f ca="1">RANDBETWEEN(30,87)</f>
        <v>74</v>
      </c>
      <c r="M215" s="11">
        <f ca="1">(L215/J215)</f>
        <v>0.15257731958762888</v>
      </c>
      <c r="N215" s="18">
        <v>96</v>
      </c>
      <c r="O215" s="18" t="str">
        <f t="shared" ca="1" si="11"/>
        <v>Understocked</v>
      </c>
      <c r="P215" s="11" t="str">
        <f ca="1">RANDBETWEEN(30,76)&amp;"%"</f>
        <v>69%</v>
      </c>
      <c r="Q215" s="18">
        <f>PRODUCT(K215,N215)</f>
        <v>53664</v>
      </c>
    </row>
    <row r="216" spans="1:17" x14ac:dyDescent="0.45">
      <c r="A216" s="6" t="s">
        <v>418</v>
      </c>
      <c r="B216" s="9" t="s">
        <v>415</v>
      </c>
      <c r="C216" s="6" t="s">
        <v>212</v>
      </c>
      <c r="D216" s="18">
        <f ca="1">RANDBETWEEN(500,1000)</f>
        <v>829</v>
      </c>
      <c r="E216" s="19">
        <v>45362</v>
      </c>
      <c r="F216" s="18">
        <v>93</v>
      </c>
      <c r="G216" s="20">
        <v>0.64</v>
      </c>
      <c r="H216" s="18">
        <f t="shared" ca="1" si="9"/>
        <v>56</v>
      </c>
      <c r="I216" s="18">
        <f t="shared" ca="1" si="10"/>
        <v>95</v>
      </c>
      <c r="J216" s="15">
        <f ca="1">K216-L216</f>
        <v>312.8</v>
      </c>
      <c r="K216" s="15">
        <v>369.8</v>
      </c>
      <c r="L216" s="15">
        <f ca="1">RANDBETWEEN(30,87)</f>
        <v>57</v>
      </c>
      <c r="M216" s="11">
        <f ca="1">(L216/J216)</f>
        <v>0.18222506393861893</v>
      </c>
      <c r="N216" s="18">
        <v>30</v>
      </c>
      <c r="O216" s="18" t="str">
        <f t="shared" ca="1" si="11"/>
        <v>Optimal</v>
      </c>
      <c r="P216" s="11" t="str">
        <f ca="1">RANDBETWEEN(30,76)&amp;"%"</f>
        <v>41%</v>
      </c>
      <c r="Q216" s="18">
        <f>PRODUCT(K216,N216)</f>
        <v>11094</v>
      </c>
    </row>
    <row r="217" spans="1:17" x14ac:dyDescent="0.45">
      <c r="A217" s="6" t="s">
        <v>419</v>
      </c>
      <c r="B217" s="9" t="s">
        <v>415</v>
      </c>
      <c r="C217" s="6" t="s">
        <v>212</v>
      </c>
      <c r="D217" s="18">
        <f ca="1">RANDBETWEEN(500,1000)</f>
        <v>681</v>
      </c>
      <c r="E217" s="19">
        <v>45571</v>
      </c>
      <c r="F217" s="18">
        <v>78</v>
      </c>
      <c r="G217" s="20">
        <v>0.53</v>
      </c>
      <c r="H217" s="18">
        <f t="shared" ca="1" si="9"/>
        <v>74</v>
      </c>
      <c r="I217" s="18">
        <f t="shared" ca="1" si="10"/>
        <v>136</v>
      </c>
      <c r="J217" s="15">
        <f ca="1">K217-L217</f>
        <v>319.2</v>
      </c>
      <c r="K217" s="15">
        <v>361.2</v>
      </c>
      <c r="L217" s="15">
        <f ca="1">RANDBETWEEN(30,87)</f>
        <v>42</v>
      </c>
      <c r="M217" s="11">
        <f ca="1">(L217/J217)</f>
        <v>0.13157894736842105</v>
      </c>
      <c r="N217" s="18">
        <v>49</v>
      </c>
      <c r="O217" s="18" t="str">
        <f t="shared" ca="1" si="11"/>
        <v>Optimal</v>
      </c>
      <c r="P217" s="11" t="str">
        <f ca="1">RANDBETWEEN(30,76)&amp;"%"</f>
        <v>50%</v>
      </c>
      <c r="Q217" s="18">
        <f>PRODUCT(K217,N217)</f>
        <v>17698.8</v>
      </c>
    </row>
    <row r="218" spans="1:17" x14ac:dyDescent="0.45">
      <c r="A218" s="6" t="s">
        <v>420</v>
      </c>
      <c r="B218" s="9" t="s">
        <v>415</v>
      </c>
      <c r="C218" s="6" t="s">
        <v>212</v>
      </c>
      <c r="D218" s="18">
        <f ca="1">RANDBETWEEN(500,1000)</f>
        <v>565</v>
      </c>
      <c r="E218" s="19">
        <v>45527</v>
      </c>
      <c r="F218" s="18">
        <v>29</v>
      </c>
      <c r="G218" s="20">
        <v>0.72</v>
      </c>
      <c r="H218" s="18">
        <f t="shared" ca="1" si="9"/>
        <v>63</v>
      </c>
      <c r="I218" s="18">
        <f t="shared" ca="1" si="10"/>
        <v>74</v>
      </c>
      <c r="J218" s="15">
        <f ca="1">K218-L218</f>
        <v>376</v>
      </c>
      <c r="K218" s="15">
        <v>430</v>
      </c>
      <c r="L218" s="15">
        <f ca="1">RANDBETWEEN(30,87)</f>
        <v>54</v>
      </c>
      <c r="M218" s="11">
        <f ca="1">(L218/J218)</f>
        <v>0.14361702127659576</v>
      </c>
      <c r="N218" s="18">
        <v>50</v>
      </c>
      <c r="O218" s="18" t="str">
        <f t="shared" ca="1" si="11"/>
        <v>Understocked</v>
      </c>
      <c r="P218" s="11" t="str">
        <f ca="1">RANDBETWEEN(30,76)&amp;"%"</f>
        <v>40%</v>
      </c>
      <c r="Q218" s="18">
        <f>PRODUCT(K218,N218)</f>
        <v>21500</v>
      </c>
    </row>
    <row r="219" spans="1:17" x14ac:dyDescent="0.45">
      <c r="A219" s="6" t="s">
        <v>421</v>
      </c>
      <c r="B219" s="9" t="s">
        <v>422</v>
      </c>
      <c r="C219" s="6" t="s">
        <v>212</v>
      </c>
      <c r="D219" s="18">
        <f ca="1">RANDBETWEEN(500,1000)</f>
        <v>989</v>
      </c>
      <c r="E219" s="19">
        <v>45521</v>
      </c>
      <c r="F219" s="18">
        <v>76</v>
      </c>
      <c r="G219" s="20">
        <v>0.77</v>
      </c>
      <c r="H219" s="18">
        <f t="shared" ca="1" si="9"/>
        <v>75</v>
      </c>
      <c r="I219" s="18">
        <f t="shared" ca="1" si="10"/>
        <v>172</v>
      </c>
      <c r="J219" s="15">
        <f ca="1">K219-L219</f>
        <v>462</v>
      </c>
      <c r="K219" s="15">
        <v>516</v>
      </c>
      <c r="L219" s="15">
        <f ca="1">RANDBETWEEN(30,87)</f>
        <v>54</v>
      </c>
      <c r="M219" s="11">
        <f ca="1">(L219/J219)</f>
        <v>0.11688311688311688</v>
      </c>
      <c r="N219" s="18">
        <v>69</v>
      </c>
      <c r="O219" s="18" t="str">
        <f t="shared" ca="1" si="11"/>
        <v>Optimal</v>
      </c>
      <c r="P219" s="11" t="str">
        <f ca="1">RANDBETWEEN(30,76)&amp;"%"</f>
        <v>51%</v>
      </c>
      <c r="Q219" s="18">
        <f>PRODUCT(K219,N219)</f>
        <v>35604</v>
      </c>
    </row>
    <row r="220" spans="1:17" x14ac:dyDescent="0.45">
      <c r="A220" s="6" t="s">
        <v>423</v>
      </c>
      <c r="B220" s="9" t="s">
        <v>422</v>
      </c>
      <c r="C220" s="6" t="s">
        <v>212</v>
      </c>
      <c r="D220" s="18">
        <f ca="1">RANDBETWEEN(500,1000)</f>
        <v>919</v>
      </c>
      <c r="E220" s="19">
        <v>45440</v>
      </c>
      <c r="F220" s="18">
        <v>39</v>
      </c>
      <c r="G220" s="20">
        <v>0.64</v>
      </c>
      <c r="H220" s="18">
        <f t="shared" ca="1" si="9"/>
        <v>61</v>
      </c>
      <c r="I220" s="18">
        <f t="shared" ca="1" si="10"/>
        <v>186</v>
      </c>
      <c r="J220" s="15">
        <f ca="1">K220-L220</f>
        <v>483</v>
      </c>
      <c r="K220" s="15">
        <v>516</v>
      </c>
      <c r="L220" s="15">
        <f ca="1">RANDBETWEEN(30,87)</f>
        <v>33</v>
      </c>
      <c r="M220" s="11">
        <f ca="1">(L220/J220)</f>
        <v>6.8322981366459631E-2</v>
      </c>
      <c r="N220" s="18">
        <v>26</v>
      </c>
      <c r="O220" s="18" t="str">
        <f t="shared" ca="1" si="11"/>
        <v>Understocked</v>
      </c>
      <c r="P220" s="11" t="str">
        <f ca="1">RANDBETWEEN(30,76)&amp;"%"</f>
        <v>74%</v>
      </c>
      <c r="Q220" s="18">
        <f>PRODUCT(K220,N220)</f>
        <v>13416</v>
      </c>
    </row>
    <row r="221" spans="1:17" x14ac:dyDescent="0.45">
      <c r="A221" s="6" t="s">
        <v>425</v>
      </c>
      <c r="B221" s="9" t="s">
        <v>422</v>
      </c>
      <c r="C221" s="6" t="s">
        <v>212</v>
      </c>
      <c r="D221" s="18">
        <f ca="1">RANDBETWEEN(500,1000)</f>
        <v>639</v>
      </c>
      <c r="E221" s="19">
        <v>45647</v>
      </c>
      <c r="F221" s="18">
        <v>42</v>
      </c>
      <c r="G221" s="20">
        <v>0.43</v>
      </c>
      <c r="H221" s="18">
        <f t="shared" ca="1" si="9"/>
        <v>74</v>
      </c>
      <c r="I221" s="18">
        <f t="shared" ca="1" si="10"/>
        <v>200</v>
      </c>
      <c r="J221" s="15">
        <f ca="1">K221-L221</f>
        <v>778</v>
      </c>
      <c r="K221" s="15">
        <v>860</v>
      </c>
      <c r="L221" s="15">
        <f ca="1">RANDBETWEEN(30,87)</f>
        <v>82</v>
      </c>
      <c r="M221" s="11">
        <f ca="1">(L221/J221)</f>
        <v>0.10539845758354756</v>
      </c>
      <c r="N221" s="18">
        <v>61</v>
      </c>
      <c r="O221" s="18" t="str">
        <f t="shared" ca="1" si="11"/>
        <v>Understocked</v>
      </c>
      <c r="P221" s="11" t="str">
        <f ca="1">RANDBETWEEN(30,76)&amp;"%"</f>
        <v>48%</v>
      </c>
      <c r="Q221" s="18">
        <f>PRODUCT(K221,N221)</f>
        <v>52460</v>
      </c>
    </row>
    <row r="222" spans="1:17" x14ac:dyDescent="0.45">
      <c r="A222" s="6" t="s">
        <v>426</v>
      </c>
      <c r="B222" s="9" t="s">
        <v>422</v>
      </c>
      <c r="C222" s="6" t="s">
        <v>212</v>
      </c>
      <c r="D222" s="18">
        <f ca="1">RANDBETWEEN(500,1000)</f>
        <v>522</v>
      </c>
      <c r="E222" s="19">
        <v>45490</v>
      </c>
      <c r="F222" s="18">
        <v>56</v>
      </c>
      <c r="G222" s="20">
        <v>0.73</v>
      </c>
      <c r="H222" s="18">
        <f t="shared" ca="1" si="9"/>
        <v>60</v>
      </c>
      <c r="I222" s="18">
        <f t="shared" ca="1" si="10"/>
        <v>182</v>
      </c>
      <c r="J222" s="15">
        <f ca="1">K222-L222</f>
        <v>382</v>
      </c>
      <c r="K222" s="15">
        <v>430</v>
      </c>
      <c r="L222" s="15">
        <f ca="1">RANDBETWEEN(30,87)</f>
        <v>48</v>
      </c>
      <c r="M222" s="11">
        <f ca="1">(L222/J222)</f>
        <v>0.1256544502617801</v>
      </c>
      <c r="N222" s="18">
        <v>82</v>
      </c>
      <c r="O222" s="18" t="str">
        <f t="shared" ca="1" si="11"/>
        <v>Understocked</v>
      </c>
      <c r="P222" s="11" t="str">
        <f ca="1">RANDBETWEEN(30,76)&amp;"%"</f>
        <v>64%</v>
      </c>
      <c r="Q222" s="18">
        <f>PRODUCT(K222,N222)</f>
        <v>35260</v>
      </c>
    </row>
    <row r="223" spans="1:17" x14ac:dyDescent="0.45">
      <c r="A223" s="6" t="s">
        <v>427</v>
      </c>
      <c r="B223" s="9" t="s">
        <v>422</v>
      </c>
      <c r="C223" s="6" t="s">
        <v>212</v>
      </c>
      <c r="D223" s="18">
        <f ca="1">RANDBETWEEN(500,1000)</f>
        <v>885</v>
      </c>
      <c r="E223" s="19">
        <v>45421</v>
      </c>
      <c r="F223" s="18">
        <v>86</v>
      </c>
      <c r="G223" s="20">
        <v>0.48</v>
      </c>
      <c r="H223" s="18">
        <f t="shared" ca="1" si="9"/>
        <v>52</v>
      </c>
      <c r="I223" s="18">
        <f t="shared" ca="1" si="10"/>
        <v>94</v>
      </c>
      <c r="J223" s="15">
        <f ca="1">K223-L223</f>
        <v>193.60000000000002</v>
      </c>
      <c r="K223" s="15">
        <v>266.60000000000002</v>
      </c>
      <c r="L223" s="15">
        <f ca="1">RANDBETWEEN(30,87)</f>
        <v>73</v>
      </c>
      <c r="M223" s="11">
        <f ca="1">(L223/J223)</f>
        <v>0.37706611570247928</v>
      </c>
      <c r="N223" s="18">
        <v>34</v>
      </c>
      <c r="O223" s="18" t="str">
        <f t="shared" ca="1" si="11"/>
        <v>Optimal</v>
      </c>
      <c r="P223" s="11" t="str">
        <f ca="1">RANDBETWEEN(30,76)&amp;"%"</f>
        <v>37%</v>
      </c>
      <c r="Q223" s="18">
        <f>PRODUCT(K223,N223)</f>
        <v>9064.4000000000015</v>
      </c>
    </row>
    <row r="224" spans="1:17" x14ac:dyDescent="0.45">
      <c r="A224" s="6" t="s">
        <v>429</v>
      </c>
      <c r="B224" s="9" t="s">
        <v>422</v>
      </c>
      <c r="C224" s="6" t="s">
        <v>212</v>
      </c>
      <c r="D224" s="18">
        <f ca="1">RANDBETWEEN(500,1000)</f>
        <v>987</v>
      </c>
      <c r="E224" s="19">
        <v>45393</v>
      </c>
      <c r="F224" s="18">
        <v>44</v>
      </c>
      <c r="G224" s="20">
        <v>0.74</v>
      </c>
      <c r="H224" s="18">
        <f t="shared" ca="1" si="9"/>
        <v>66</v>
      </c>
      <c r="I224" s="18">
        <f t="shared" ca="1" si="10"/>
        <v>79</v>
      </c>
      <c r="J224" s="15">
        <f ca="1">K224-L224</f>
        <v>376.5</v>
      </c>
      <c r="K224" s="15">
        <v>408.5</v>
      </c>
      <c r="L224" s="15">
        <f ca="1">RANDBETWEEN(30,87)</f>
        <v>32</v>
      </c>
      <c r="M224" s="11">
        <f ca="1">(L224/J224)</f>
        <v>8.4993359893758294E-2</v>
      </c>
      <c r="N224" s="18">
        <v>51</v>
      </c>
      <c r="O224" s="18" t="str">
        <f t="shared" ca="1" si="11"/>
        <v>Understocked</v>
      </c>
      <c r="P224" s="11" t="str">
        <f ca="1">RANDBETWEEN(30,76)&amp;"%"</f>
        <v>75%</v>
      </c>
      <c r="Q224" s="18">
        <f>PRODUCT(K224,N224)</f>
        <v>20833.5</v>
      </c>
    </row>
    <row r="225" spans="1:17" x14ac:dyDescent="0.45">
      <c r="A225" s="6" t="s">
        <v>431</v>
      </c>
      <c r="B225" s="9" t="s">
        <v>422</v>
      </c>
      <c r="C225" s="6" t="s">
        <v>212</v>
      </c>
      <c r="D225" s="18">
        <f ca="1">RANDBETWEEN(500,1000)</f>
        <v>897</v>
      </c>
      <c r="E225" s="19">
        <v>45567</v>
      </c>
      <c r="F225" s="18">
        <v>92</v>
      </c>
      <c r="G225" s="20">
        <v>0.89</v>
      </c>
      <c r="H225" s="18">
        <f t="shared" ca="1" si="9"/>
        <v>54</v>
      </c>
      <c r="I225" s="18">
        <f t="shared" ca="1" si="10"/>
        <v>130</v>
      </c>
      <c r="J225" s="15">
        <f ca="1">K225-L225</f>
        <v>86</v>
      </c>
      <c r="K225" s="15">
        <v>129</v>
      </c>
      <c r="L225" s="15">
        <f ca="1">RANDBETWEEN(30,87)</f>
        <v>43</v>
      </c>
      <c r="M225" s="11">
        <f ca="1">(L225/J225)</f>
        <v>0.5</v>
      </c>
      <c r="N225" s="18">
        <v>78</v>
      </c>
      <c r="O225" s="18" t="str">
        <f t="shared" ca="1" si="11"/>
        <v>Optimal</v>
      </c>
      <c r="P225" s="11" t="str">
        <f ca="1">RANDBETWEEN(30,76)&amp;"%"</f>
        <v>59%</v>
      </c>
      <c r="Q225" s="18">
        <f>PRODUCT(K225,N225)</f>
        <v>10062</v>
      </c>
    </row>
    <row r="226" spans="1:17" x14ac:dyDescent="0.45">
      <c r="A226" t="s">
        <v>279</v>
      </c>
      <c r="B226" t="s">
        <v>277</v>
      </c>
      <c r="C226" t="s">
        <v>212</v>
      </c>
      <c r="D226" s="18">
        <f ca="1">RANDBETWEEN(500,1000)</f>
        <v>560</v>
      </c>
      <c r="E226" s="1">
        <v>45410</v>
      </c>
      <c r="F226">
        <v>40</v>
      </c>
      <c r="G226" s="2">
        <v>0.46</v>
      </c>
      <c r="H226" s="18">
        <f t="shared" ca="1" si="9"/>
        <v>50</v>
      </c>
      <c r="I226" s="18">
        <f t="shared" ca="1" si="10"/>
        <v>104</v>
      </c>
      <c r="J226" s="4">
        <f ca="1">K226-L226</f>
        <v>1241</v>
      </c>
      <c r="K226" s="4">
        <v>1290</v>
      </c>
      <c r="L226" s="4">
        <f ca="1">RANDBETWEEN(30,87)</f>
        <v>49</v>
      </c>
      <c r="M226" s="3">
        <f ca="1">(L226/J226)</f>
        <v>3.9484286865431102E-2</v>
      </c>
      <c r="N226">
        <v>40</v>
      </c>
      <c r="O226" s="18" t="str">
        <f t="shared" ca="1" si="11"/>
        <v>Understocked</v>
      </c>
      <c r="P226">
        <v>68</v>
      </c>
    </row>
    <row r="227" spans="1:17" x14ac:dyDescent="0.45">
      <c r="A227" s="6" t="s">
        <v>445</v>
      </c>
      <c r="B227" s="9" t="s">
        <v>444</v>
      </c>
      <c r="C227" s="6" t="s">
        <v>212</v>
      </c>
      <c r="D227" s="18">
        <f ca="1">RANDBETWEEN(500,1000)</f>
        <v>969</v>
      </c>
      <c r="E227" s="19">
        <v>45349</v>
      </c>
      <c r="F227" s="18">
        <v>70</v>
      </c>
      <c r="G227" s="20">
        <v>0.34</v>
      </c>
      <c r="H227" s="18">
        <f t="shared" ca="1" si="9"/>
        <v>56</v>
      </c>
      <c r="I227" s="18">
        <f t="shared" ca="1" si="10"/>
        <v>131</v>
      </c>
      <c r="J227" s="15">
        <f ca="1">K227-L227</f>
        <v>249</v>
      </c>
      <c r="K227" s="15">
        <v>301</v>
      </c>
      <c r="L227" s="15">
        <f ca="1">RANDBETWEEN(30,87)</f>
        <v>52</v>
      </c>
      <c r="M227" s="11">
        <f ca="1">(L227/J227)</f>
        <v>0.20883534136546184</v>
      </c>
      <c r="N227" s="18">
        <v>24</v>
      </c>
      <c r="O227" s="18" t="str">
        <f t="shared" ca="1" si="11"/>
        <v>Optimal</v>
      </c>
      <c r="P227" s="11" t="str">
        <f ca="1">RANDBETWEEN(30,76)&amp;"%"</f>
        <v>59%</v>
      </c>
      <c r="Q227" s="18">
        <f>PRODUCT(K227,N227)</f>
        <v>7224</v>
      </c>
    </row>
    <row r="228" spans="1:17" x14ac:dyDescent="0.45">
      <c r="A228" s="6" t="s">
        <v>446</v>
      </c>
      <c r="B228" s="9" t="s">
        <v>444</v>
      </c>
      <c r="C228" s="6" t="s">
        <v>212</v>
      </c>
      <c r="D228" s="18">
        <f ca="1">RANDBETWEEN(500,1000)</f>
        <v>544</v>
      </c>
      <c r="E228" s="19">
        <v>45388</v>
      </c>
      <c r="F228" s="18">
        <v>23</v>
      </c>
      <c r="G228" s="20">
        <v>0.45</v>
      </c>
      <c r="H228" s="18">
        <f t="shared" ca="1" si="9"/>
        <v>75</v>
      </c>
      <c r="I228" s="18">
        <f t="shared" ca="1" si="10"/>
        <v>107</v>
      </c>
      <c r="J228" s="15">
        <f ca="1">K228-L228</f>
        <v>774</v>
      </c>
      <c r="K228" s="15">
        <v>860</v>
      </c>
      <c r="L228" s="15">
        <f ca="1">RANDBETWEEN(30,87)</f>
        <v>86</v>
      </c>
      <c r="M228" s="11">
        <f ca="1">(L228/J228)</f>
        <v>0.1111111111111111</v>
      </c>
      <c r="N228" s="18">
        <v>68</v>
      </c>
      <c r="O228" s="18" t="str">
        <f t="shared" ca="1" si="11"/>
        <v>Understocked</v>
      </c>
      <c r="P228" s="11" t="str">
        <f ca="1">RANDBETWEEN(30,76)&amp;"%"</f>
        <v>49%</v>
      </c>
      <c r="Q228" s="18">
        <f>PRODUCT(K228,N228)</f>
        <v>58480</v>
      </c>
    </row>
    <row r="229" spans="1:17" x14ac:dyDescent="0.45">
      <c r="A229" s="6" t="s">
        <v>447</v>
      </c>
      <c r="B229" s="9" t="s">
        <v>444</v>
      </c>
      <c r="C229" s="6" t="s">
        <v>212</v>
      </c>
      <c r="D229" s="18">
        <f ca="1">RANDBETWEEN(500,1000)</f>
        <v>671</v>
      </c>
      <c r="E229" s="19">
        <v>45514</v>
      </c>
      <c r="F229" s="18">
        <v>23</v>
      </c>
      <c r="G229" s="20">
        <v>0.43</v>
      </c>
      <c r="H229" s="18">
        <f t="shared" ca="1" si="9"/>
        <v>74</v>
      </c>
      <c r="I229" s="18">
        <f t="shared" ca="1" si="10"/>
        <v>79</v>
      </c>
      <c r="J229" s="15">
        <f ca="1">K229-L229</f>
        <v>261</v>
      </c>
      <c r="K229" s="15">
        <v>301</v>
      </c>
      <c r="L229" s="15">
        <f ca="1">RANDBETWEEN(30,87)</f>
        <v>40</v>
      </c>
      <c r="M229" s="11">
        <f ca="1">(L229/J229)</f>
        <v>0.1532567049808429</v>
      </c>
      <c r="N229" s="18">
        <v>63</v>
      </c>
      <c r="O229" s="18" t="str">
        <f t="shared" ca="1" si="11"/>
        <v>Understocked</v>
      </c>
      <c r="P229" s="11" t="str">
        <f ca="1">RANDBETWEEN(30,76)&amp;"%"</f>
        <v>31%</v>
      </c>
      <c r="Q229" s="18">
        <f>PRODUCT(K229,N229)</f>
        <v>18963</v>
      </c>
    </row>
    <row r="230" spans="1:17" x14ac:dyDescent="0.45">
      <c r="A230" s="6" t="s">
        <v>448</v>
      </c>
      <c r="B230" s="9" t="s">
        <v>444</v>
      </c>
      <c r="C230" s="6" t="s">
        <v>212</v>
      </c>
      <c r="D230" s="18">
        <f ca="1">RANDBETWEEN(500,1000)</f>
        <v>631</v>
      </c>
      <c r="E230" s="19">
        <v>45700</v>
      </c>
      <c r="F230" s="18">
        <v>15</v>
      </c>
      <c r="G230" s="20">
        <v>0.35</v>
      </c>
      <c r="H230" s="18">
        <f t="shared" ca="1" si="9"/>
        <v>78</v>
      </c>
      <c r="I230" s="18">
        <f t="shared" ca="1" si="10"/>
        <v>74</v>
      </c>
      <c r="J230" s="15">
        <f ca="1">K230-L230</f>
        <v>573.20000000000005</v>
      </c>
      <c r="K230" s="15">
        <v>619.20000000000005</v>
      </c>
      <c r="L230" s="15">
        <f ca="1">RANDBETWEEN(30,87)</f>
        <v>46</v>
      </c>
      <c r="M230" s="11">
        <f ca="1">(L230/J230)</f>
        <v>8.0251221214235863E-2</v>
      </c>
      <c r="N230" s="18">
        <v>71</v>
      </c>
      <c r="O230" s="18" t="str">
        <f t="shared" ca="1" si="11"/>
        <v>Understocked</v>
      </c>
      <c r="P230" s="11" t="str">
        <f ca="1">RANDBETWEEN(30,76)&amp;"%"</f>
        <v>51%</v>
      </c>
      <c r="Q230" s="18">
        <f>PRODUCT(K230,N230)</f>
        <v>43963.200000000004</v>
      </c>
    </row>
    <row r="231" spans="1:17" x14ac:dyDescent="0.45">
      <c r="A231" s="6" t="s">
        <v>449</v>
      </c>
      <c r="B231" s="9" t="s">
        <v>444</v>
      </c>
      <c r="C231" s="6" t="s">
        <v>212</v>
      </c>
      <c r="D231" s="18">
        <f ca="1">RANDBETWEEN(500,1000)</f>
        <v>914</v>
      </c>
      <c r="E231" s="19">
        <v>45504</v>
      </c>
      <c r="F231" s="18">
        <v>72</v>
      </c>
      <c r="G231" s="20">
        <v>0.33</v>
      </c>
      <c r="H231" s="18">
        <f t="shared" ca="1" si="9"/>
        <v>52</v>
      </c>
      <c r="I231" s="18">
        <f t="shared" ca="1" si="10"/>
        <v>114</v>
      </c>
      <c r="J231" s="15">
        <f ca="1">K231-L231</f>
        <v>460</v>
      </c>
      <c r="K231" s="15">
        <v>516</v>
      </c>
      <c r="L231" s="15">
        <f ca="1">RANDBETWEEN(30,87)</f>
        <v>56</v>
      </c>
      <c r="M231" s="11">
        <f ca="1">(L231/J231)</f>
        <v>0.12173913043478261</v>
      </c>
      <c r="N231" s="18">
        <v>52</v>
      </c>
      <c r="O231" s="18" t="str">
        <f t="shared" ca="1" si="11"/>
        <v>Optimal</v>
      </c>
      <c r="P231" s="11" t="str">
        <f ca="1">RANDBETWEEN(30,76)&amp;"%"</f>
        <v>65%</v>
      </c>
      <c r="Q231" s="18">
        <f>PRODUCT(K231,N231)</f>
        <v>26832</v>
      </c>
    </row>
    <row r="232" spans="1:17" x14ac:dyDescent="0.45">
      <c r="A232" s="6" t="s">
        <v>450</v>
      </c>
      <c r="B232" s="9" t="s">
        <v>444</v>
      </c>
      <c r="C232" s="6" t="s">
        <v>212</v>
      </c>
      <c r="D232" s="18">
        <f ca="1">RANDBETWEEN(500,1000)</f>
        <v>644</v>
      </c>
      <c r="E232" s="19">
        <v>45630</v>
      </c>
      <c r="F232" s="18">
        <v>11</v>
      </c>
      <c r="G232" s="20">
        <v>0.56999999999999995</v>
      </c>
      <c r="H232" s="18">
        <f t="shared" ca="1" si="9"/>
        <v>50</v>
      </c>
      <c r="I232" s="18">
        <f t="shared" ca="1" si="10"/>
        <v>85</v>
      </c>
      <c r="J232" s="15">
        <f ca="1">K232-L232</f>
        <v>438</v>
      </c>
      <c r="K232" s="15">
        <v>516</v>
      </c>
      <c r="L232" s="15">
        <f ca="1">RANDBETWEEN(30,87)</f>
        <v>78</v>
      </c>
      <c r="M232" s="11">
        <f ca="1">(L232/J232)</f>
        <v>0.17808219178082191</v>
      </c>
      <c r="N232" s="18">
        <v>48</v>
      </c>
      <c r="O232" s="18" t="str">
        <f t="shared" ca="1" si="11"/>
        <v>Understocked</v>
      </c>
      <c r="P232" s="11" t="str">
        <f ca="1">RANDBETWEEN(30,76)&amp;"%"</f>
        <v>32%</v>
      </c>
      <c r="Q232" s="18">
        <f>PRODUCT(K232,N232)</f>
        <v>24768</v>
      </c>
    </row>
    <row r="233" spans="1:17" x14ac:dyDescent="0.45">
      <c r="A233" s="6" t="s">
        <v>451</v>
      </c>
      <c r="B233" s="9" t="s">
        <v>444</v>
      </c>
      <c r="C233" s="6" t="s">
        <v>212</v>
      </c>
      <c r="D233" s="18">
        <f ca="1">RANDBETWEEN(500,1000)</f>
        <v>820</v>
      </c>
      <c r="E233" s="19">
        <v>45508</v>
      </c>
      <c r="F233" s="18">
        <v>64</v>
      </c>
      <c r="G233" s="20">
        <v>0.4</v>
      </c>
      <c r="H233" s="18">
        <f t="shared" ca="1" si="9"/>
        <v>76</v>
      </c>
      <c r="I233" s="18">
        <f t="shared" ca="1" si="10"/>
        <v>187</v>
      </c>
      <c r="J233" s="15">
        <f ca="1">K233-L233</f>
        <v>425.8</v>
      </c>
      <c r="K233" s="15">
        <v>498.8</v>
      </c>
      <c r="L233" s="15">
        <f ca="1">RANDBETWEEN(30,87)</f>
        <v>73</v>
      </c>
      <c r="M233" s="11">
        <f ca="1">(L233/J233)</f>
        <v>0.17144199154532644</v>
      </c>
      <c r="N233" s="18">
        <v>85</v>
      </c>
      <c r="O233" s="18" t="str">
        <f t="shared" ca="1" si="11"/>
        <v>Understocked</v>
      </c>
      <c r="P233" s="11" t="str">
        <f ca="1">RANDBETWEEN(30,76)&amp;"%"</f>
        <v>56%</v>
      </c>
      <c r="Q233" s="18">
        <f>PRODUCT(K233,N233)</f>
        <v>42398</v>
      </c>
    </row>
    <row r="234" spans="1:17" hidden="1" x14ac:dyDescent="0.45">
      <c r="A234" s="6" t="s">
        <v>443</v>
      </c>
      <c r="B234" s="9" t="s">
        <v>444</v>
      </c>
      <c r="C234" s="6" t="s">
        <v>212</v>
      </c>
      <c r="D234" s="18">
        <f ca="1">RANDBETWEEN(8,15)</f>
        <v>8</v>
      </c>
      <c r="E234" s="19">
        <v>45603</v>
      </c>
      <c r="F234" s="18">
        <v>64</v>
      </c>
      <c r="G234" s="20">
        <v>0.5</v>
      </c>
      <c r="H234" s="18">
        <v>28</v>
      </c>
      <c r="I234" s="18">
        <v>35</v>
      </c>
      <c r="J234" s="15">
        <f ca="1">K234-L234</f>
        <v>16.799999999999997</v>
      </c>
      <c r="K234" s="15">
        <v>68.8</v>
      </c>
      <c r="L234" s="15">
        <f ca="1">RANDBETWEEN(30,87)</f>
        <v>52</v>
      </c>
      <c r="M234" s="11">
        <f ca="1">(L234/J234)</f>
        <v>3.0952380952380958</v>
      </c>
      <c r="N234" s="18">
        <v>74</v>
      </c>
      <c r="O234" s="18" t="s">
        <v>15</v>
      </c>
      <c r="P234" s="11" t="str">
        <f ca="1">RANDBETWEEN(30,76)&amp;"%"</f>
        <v>56%</v>
      </c>
      <c r="Q234" s="18">
        <f>PRODUCT(K234,N234)</f>
        <v>5091.2</v>
      </c>
    </row>
    <row r="235" spans="1:17" x14ac:dyDescent="0.45">
      <c r="A235" s="6" t="s">
        <v>452</v>
      </c>
      <c r="B235" s="9" t="s">
        <v>453</v>
      </c>
      <c r="C235" s="6" t="s">
        <v>212</v>
      </c>
      <c r="D235" s="18">
        <f ca="1">RANDBETWEEN(500,1000)</f>
        <v>504</v>
      </c>
      <c r="E235" s="19">
        <v>45615</v>
      </c>
      <c r="F235" s="18">
        <v>98</v>
      </c>
      <c r="G235" s="20">
        <v>0.33</v>
      </c>
      <c r="H235" s="18">
        <f t="shared" ref="H235:H298" ca="1" si="12">RANDBETWEEN(50,80)</f>
        <v>51</v>
      </c>
      <c r="I235" s="18">
        <f t="shared" ref="I235:I298" ca="1" si="13">RANDBETWEEN(70,200)</f>
        <v>179</v>
      </c>
      <c r="J235" s="15">
        <f ca="1">K235-L235</f>
        <v>154.70000000000002</v>
      </c>
      <c r="K235" s="15">
        <v>210.70000000000002</v>
      </c>
      <c r="L235" s="15">
        <f ca="1">RANDBETWEEN(30,87)</f>
        <v>56</v>
      </c>
      <c r="M235" s="11">
        <f ca="1">(L235/J235)</f>
        <v>0.36199095022624428</v>
      </c>
      <c r="N235" s="18">
        <v>92</v>
      </c>
      <c r="O235" s="18" t="str">
        <f t="shared" ref="O235:O298" ca="1" si="14">IF(F235&lt;H235,"Understocked","Optimal")</f>
        <v>Optimal</v>
      </c>
      <c r="P235" s="11" t="str">
        <f ca="1">RANDBETWEEN(30,76)&amp;"%"</f>
        <v>61%</v>
      </c>
      <c r="Q235" s="18">
        <f>PRODUCT(K235,N235)</f>
        <v>19384.400000000001</v>
      </c>
    </row>
    <row r="236" spans="1:17" x14ac:dyDescent="0.45">
      <c r="A236" s="6" t="s">
        <v>454</v>
      </c>
      <c r="B236" s="9" t="s">
        <v>453</v>
      </c>
      <c r="C236" s="6" t="s">
        <v>212</v>
      </c>
      <c r="D236" s="18">
        <f ca="1">RANDBETWEEN(500,1000)</f>
        <v>822</v>
      </c>
      <c r="E236" s="19">
        <v>45516</v>
      </c>
      <c r="F236" s="18">
        <v>91</v>
      </c>
      <c r="G236" s="20">
        <v>0.66</v>
      </c>
      <c r="H236" s="18">
        <f t="shared" ca="1" si="12"/>
        <v>76</v>
      </c>
      <c r="I236" s="18">
        <f t="shared" ca="1" si="13"/>
        <v>103</v>
      </c>
      <c r="J236" s="15">
        <f ca="1">K236-L236</f>
        <v>232.5</v>
      </c>
      <c r="K236" s="15">
        <v>279.5</v>
      </c>
      <c r="L236" s="15">
        <f ca="1">RANDBETWEEN(30,87)</f>
        <v>47</v>
      </c>
      <c r="M236" s="11">
        <f ca="1">(L236/J236)</f>
        <v>0.2021505376344086</v>
      </c>
      <c r="N236" s="18">
        <v>32</v>
      </c>
      <c r="O236" s="18" t="str">
        <f t="shared" ca="1" si="14"/>
        <v>Optimal</v>
      </c>
      <c r="P236" s="11" t="str">
        <f ca="1">RANDBETWEEN(30,76)&amp;"%"</f>
        <v>70%</v>
      </c>
      <c r="Q236" s="18">
        <f>PRODUCT(K236,N236)</f>
        <v>8944</v>
      </c>
    </row>
    <row r="237" spans="1:17" x14ac:dyDescent="0.45">
      <c r="A237" s="6" t="s">
        <v>455</v>
      </c>
      <c r="B237" s="9" t="s">
        <v>453</v>
      </c>
      <c r="C237" s="6" t="s">
        <v>212</v>
      </c>
      <c r="D237" s="18">
        <f ca="1">RANDBETWEEN(500,1000)</f>
        <v>507</v>
      </c>
      <c r="E237" s="19">
        <v>45500</v>
      </c>
      <c r="F237" s="18">
        <v>74</v>
      </c>
      <c r="G237" s="20">
        <v>0.3</v>
      </c>
      <c r="H237" s="18">
        <f t="shared" ca="1" si="12"/>
        <v>65</v>
      </c>
      <c r="I237" s="18">
        <f t="shared" ca="1" si="13"/>
        <v>191</v>
      </c>
      <c r="J237" s="15">
        <f ca="1">K237-L237</f>
        <v>107</v>
      </c>
      <c r="K237" s="15">
        <v>172</v>
      </c>
      <c r="L237" s="15">
        <f ca="1">RANDBETWEEN(30,87)</f>
        <v>65</v>
      </c>
      <c r="M237" s="11">
        <f ca="1">(L237/J237)</f>
        <v>0.60747663551401865</v>
      </c>
      <c r="N237" s="18">
        <v>21</v>
      </c>
      <c r="O237" s="18" t="str">
        <f t="shared" ca="1" si="14"/>
        <v>Optimal</v>
      </c>
      <c r="P237" s="11" t="str">
        <f ca="1">RANDBETWEEN(30,76)&amp;"%"</f>
        <v>31%</v>
      </c>
      <c r="Q237" s="18">
        <f>PRODUCT(K237,N237)</f>
        <v>3612</v>
      </c>
    </row>
    <row r="238" spans="1:17" x14ac:dyDescent="0.45">
      <c r="A238" s="6" t="s">
        <v>456</v>
      </c>
      <c r="B238" s="9" t="s">
        <v>453</v>
      </c>
      <c r="C238" s="6" t="s">
        <v>212</v>
      </c>
      <c r="D238" s="18">
        <f ca="1">RANDBETWEEN(500,1000)</f>
        <v>944</v>
      </c>
      <c r="E238" s="19">
        <v>45384</v>
      </c>
      <c r="F238" s="18">
        <v>94</v>
      </c>
      <c r="G238" s="20">
        <v>0.81</v>
      </c>
      <c r="H238" s="18">
        <f t="shared" ca="1" si="12"/>
        <v>51</v>
      </c>
      <c r="I238" s="18">
        <f t="shared" ca="1" si="13"/>
        <v>129</v>
      </c>
      <c r="J238" s="15">
        <f ca="1">K238-L238</f>
        <v>431</v>
      </c>
      <c r="K238" s="15">
        <v>473</v>
      </c>
      <c r="L238" s="15">
        <f ca="1">RANDBETWEEN(30,87)</f>
        <v>42</v>
      </c>
      <c r="M238" s="11">
        <f ca="1">(L238/J238)</f>
        <v>9.7447795823665889E-2</v>
      </c>
      <c r="N238" s="18">
        <v>20</v>
      </c>
      <c r="O238" s="18" t="str">
        <f t="shared" ca="1" si="14"/>
        <v>Optimal</v>
      </c>
      <c r="P238" s="11" t="str">
        <f ca="1">RANDBETWEEN(30,76)&amp;"%"</f>
        <v>71%</v>
      </c>
      <c r="Q238" s="18">
        <f>PRODUCT(K238,N238)</f>
        <v>9460</v>
      </c>
    </row>
    <row r="239" spans="1:17" x14ac:dyDescent="0.45">
      <c r="A239" s="6" t="s">
        <v>457</v>
      </c>
      <c r="B239" s="9" t="s">
        <v>453</v>
      </c>
      <c r="C239" s="6" t="s">
        <v>212</v>
      </c>
      <c r="D239" s="18">
        <f ca="1">RANDBETWEEN(500,1000)</f>
        <v>537</v>
      </c>
      <c r="E239" s="19">
        <v>45540</v>
      </c>
      <c r="F239" s="18">
        <v>80</v>
      </c>
      <c r="G239" s="20">
        <v>0.75</v>
      </c>
      <c r="H239" s="18">
        <f t="shared" ca="1" si="12"/>
        <v>79</v>
      </c>
      <c r="I239" s="18">
        <f t="shared" ca="1" si="13"/>
        <v>139</v>
      </c>
      <c r="J239" s="15">
        <f ca="1">K239-L239</f>
        <v>113.5</v>
      </c>
      <c r="K239" s="15">
        <v>150.5</v>
      </c>
      <c r="L239" s="15">
        <f ca="1">RANDBETWEEN(30,87)</f>
        <v>37</v>
      </c>
      <c r="M239" s="11">
        <f ca="1">(L239/J239)</f>
        <v>0.32599118942731276</v>
      </c>
      <c r="N239" s="18">
        <v>64</v>
      </c>
      <c r="O239" s="18" t="str">
        <f t="shared" ca="1" si="14"/>
        <v>Optimal</v>
      </c>
      <c r="P239" s="11" t="str">
        <f ca="1">RANDBETWEEN(30,76)&amp;"%"</f>
        <v>74%</v>
      </c>
      <c r="Q239" s="18">
        <f>PRODUCT(K239,N239)</f>
        <v>9632</v>
      </c>
    </row>
    <row r="240" spans="1:17" x14ac:dyDescent="0.45">
      <c r="A240" s="6" t="s">
        <v>458</v>
      </c>
      <c r="B240" s="9" t="s">
        <v>453</v>
      </c>
      <c r="C240" s="6" t="s">
        <v>212</v>
      </c>
      <c r="D240" s="18">
        <f ca="1">RANDBETWEEN(500,1000)</f>
        <v>765</v>
      </c>
      <c r="E240" s="19">
        <v>45533</v>
      </c>
      <c r="F240" s="18">
        <v>97</v>
      </c>
      <c r="G240" s="20">
        <v>0.3</v>
      </c>
      <c r="H240" s="18">
        <f t="shared" ca="1" si="12"/>
        <v>55</v>
      </c>
      <c r="I240" s="18">
        <f t="shared" ca="1" si="13"/>
        <v>118</v>
      </c>
      <c r="J240" s="15">
        <f ca="1">K240-L240</f>
        <v>145.29999999999998</v>
      </c>
      <c r="K240" s="15">
        <v>219.29999999999998</v>
      </c>
      <c r="L240" s="15">
        <f ca="1">RANDBETWEEN(30,87)</f>
        <v>74</v>
      </c>
      <c r="M240" s="11">
        <f ca="1">(L240/J240)</f>
        <v>0.50929112181693059</v>
      </c>
      <c r="N240" s="18">
        <v>95</v>
      </c>
      <c r="O240" s="18" t="str">
        <f t="shared" ca="1" si="14"/>
        <v>Optimal</v>
      </c>
      <c r="P240" s="11" t="str">
        <f ca="1">RANDBETWEEN(30,76)&amp;"%"</f>
        <v>69%</v>
      </c>
      <c r="Q240" s="18">
        <f>PRODUCT(K240,N240)</f>
        <v>20833.5</v>
      </c>
    </row>
    <row r="241" spans="1:17" x14ac:dyDescent="0.45">
      <c r="A241" s="6" t="s">
        <v>464</v>
      </c>
      <c r="B241" s="9" t="s">
        <v>465</v>
      </c>
      <c r="C241" s="6" t="s">
        <v>212</v>
      </c>
      <c r="D241" s="18">
        <f ca="1">RANDBETWEEN(500,1000)</f>
        <v>737</v>
      </c>
      <c r="E241" s="19">
        <v>45446</v>
      </c>
      <c r="F241" s="18">
        <v>68</v>
      </c>
      <c r="G241" s="20">
        <v>0.52</v>
      </c>
      <c r="H241" s="18">
        <f t="shared" ca="1" si="12"/>
        <v>63</v>
      </c>
      <c r="I241" s="18">
        <f t="shared" ca="1" si="13"/>
        <v>198</v>
      </c>
      <c r="J241" s="15">
        <f ca="1">K241-L241</f>
        <v>379</v>
      </c>
      <c r="K241" s="15">
        <v>430</v>
      </c>
      <c r="L241" s="15">
        <f ca="1">RANDBETWEEN(30,87)</f>
        <v>51</v>
      </c>
      <c r="M241" s="11">
        <f ca="1">(L241/J241)</f>
        <v>0.13456464379947231</v>
      </c>
      <c r="N241" s="18">
        <v>53</v>
      </c>
      <c r="O241" s="18" t="str">
        <f t="shared" ca="1" si="14"/>
        <v>Optimal</v>
      </c>
      <c r="P241" s="11" t="str">
        <f ca="1">RANDBETWEEN(30,76)&amp;"%"</f>
        <v>69%</v>
      </c>
      <c r="Q241" s="18">
        <f>PRODUCT(K241,N241)</f>
        <v>22790</v>
      </c>
    </row>
    <row r="242" spans="1:17" x14ac:dyDescent="0.45">
      <c r="A242" s="6" t="s">
        <v>466</v>
      </c>
      <c r="B242" s="9" t="s">
        <v>465</v>
      </c>
      <c r="C242" s="6" t="s">
        <v>212</v>
      </c>
      <c r="D242" s="18">
        <f ca="1">RANDBETWEEN(500,1000)</f>
        <v>690</v>
      </c>
      <c r="E242" s="19">
        <v>45523</v>
      </c>
      <c r="F242" s="18">
        <v>71</v>
      </c>
      <c r="G242" s="20">
        <v>0.48</v>
      </c>
      <c r="H242" s="18">
        <f t="shared" ca="1" si="12"/>
        <v>55</v>
      </c>
      <c r="I242" s="18">
        <f t="shared" ca="1" si="13"/>
        <v>174</v>
      </c>
      <c r="J242" s="15">
        <f ca="1">K242-L242</f>
        <v>109</v>
      </c>
      <c r="K242" s="15">
        <v>172</v>
      </c>
      <c r="L242" s="15">
        <f ca="1">RANDBETWEEN(30,87)</f>
        <v>63</v>
      </c>
      <c r="M242" s="11">
        <f ca="1">(L242/J242)</f>
        <v>0.57798165137614677</v>
      </c>
      <c r="N242" s="18">
        <v>77</v>
      </c>
      <c r="O242" s="18" t="str">
        <f t="shared" ca="1" si="14"/>
        <v>Optimal</v>
      </c>
      <c r="P242" s="11" t="str">
        <f ca="1">RANDBETWEEN(30,76)&amp;"%"</f>
        <v>37%</v>
      </c>
      <c r="Q242" s="18">
        <f>PRODUCT(K242,N242)</f>
        <v>13244</v>
      </c>
    </row>
    <row r="243" spans="1:17" x14ac:dyDescent="0.45">
      <c r="A243" s="6" t="s">
        <v>467</v>
      </c>
      <c r="B243" s="9" t="s">
        <v>465</v>
      </c>
      <c r="C243" s="6" t="s">
        <v>212</v>
      </c>
      <c r="D243" s="18">
        <f ca="1">RANDBETWEEN(500,1000)</f>
        <v>709</v>
      </c>
      <c r="E243" s="19">
        <v>45550</v>
      </c>
      <c r="F243" s="18">
        <v>97</v>
      </c>
      <c r="G243" s="20">
        <v>0.48</v>
      </c>
      <c r="H243" s="18">
        <f t="shared" ca="1" si="12"/>
        <v>78</v>
      </c>
      <c r="I243" s="18">
        <f t="shared" ca="1" si="13"/>
        <v>116</v>
      </c>
      <c r="J243" s="15">
        <f ca="1">K243-L243</f>
        <v>116.80000000000001</v>
      </c>
      <c r="K243" s="15">
        <v>154.80000000000001</v>
      </c>
      <c r="L243" s="15">
        <f ca="1">RANDBETWEEN(30,87)</f>
        <v>38</v>
      </c>
      <c r="M243" s="11">
        <f ca="1">(L243/J243)</f>
        <v>0.32534246575342463</v>
      </c>
      <c r="N243" s="18">
        <v>43</v>
      </c>
      <c r="O243" s="18" t="str">
        <f t="shared" ca="1" si="14"/>
        <v>Optimal</v>
      </c>
      <c r="P243" s="11" t="str">
        <f ca="1">RANDBETWEEN(30,76)&amp;"%"</f>
        <v>48%</v>
      </c>
      <c r="Q243" s="18">
        <f>PRODUCT(K243,N243)</f>
        <v>6656.4000000000005</v>
      </c>
    </row>
    <row r="244" spans="1:17" x14ac:dyDescent="0.45">
      <c r="A244" s="6" t="s">
        <v>468</v>
      </c>
      <c r="B244" s="9" t="s">
        <v>465</v>
      </c>
      <c r="C244" s="6" t="s">
        <v>212</v>
      </c>
      <c r="D244" s="18">
        <f ca="1">RANDBETWEEN(500,1000)</f>
        <v>653</v>
      </c>
      <c r="E244" s="19">
        <v>45515</v>
      </c>
      <c r="F244" s="18">
        <v>67</v>
      </c>
      <c r="G244" s="20">
        <v>0.38</v>
      </c>
      <c r="H244" s="18">
        <f t="shared" ca="1" si="12"/>
        <v>75</v>
      </c>
      <c r="I244" s="18">
        <f t="shared" ca="1" si="13"/>
        <v>73</v>
      </c>
      <c r="J244" s="15">
        <f ca="1">K244-L244</f>
        <v>816</v>
      </c>
      <c r="K244" s="15">
        <v>860</v>
      </c>
      <c r="L244" s="15">
        <f ca="1">RANDBETWEEN(30,87)</f>
        <v>44</v>
      </c>
      <c r="M244" s="11">
        <f ca="1">(L244/J244)</f>
        <v>5.3921568627450983E-2</v>
      </c>
      <c r="N244" s="18">
        <v>73</v>
      </c>
      <c r="O244" s="18" t="str">
        <f t="shared" ca="1" si="14"/>
        <v>Understocked</v>
      </c>
      <c r="P244" s="11" t="str">
        <f ca="1">RANDBETWEEN(30,76)&amp;"%"</f>
        <v>42%</v>
      </c>
      <c r="Q244" s="18">
        <f>PRODUCT(K244,N244)</f>
        <v>62780</v>
      </c>
    </row>
    <row r="245" spans="1:17" x14ac:dyDescent="0.45">
      <c r="A245" s="6" t="s">
        <v>469</v>
      </c>
      <c r="B245" s="9" t="s">
        <v>465</v>
      </c>
      <c r="C245" s="6" t="s">
        <v>212</v>
      </c>
      <c r="D245" s="18">
        <f ca="1">RANDBETWEEN(500,1000)</f>
        <v>851</v>
      </c>
      <c r="E245" s="19">
        <v>45416</v>
      </c>
      <c r="F245" s="18">
        <v>48</v>
      </c>
      <c r="G245" s="20">
        <v>0.74</v>
      </c>
      <c r="H245" s="18">
        <f t="shared" ca="1" si="12"/>
        <v>75</v>
      </c>
      <c r="I245" s="18">
        <f t="shared" ca="1" si="13"/>
        <v>131</v>
      </c>
      <c r="J245" s="15">
        <f ca="1">K245-L245</f>
        <v>306.40000000000003</v>
      </c>
      <c r="K245" s="15">
        <v>378.40000000000003</v>
      </c>
      <c r="L245" s="15">
        <f ca="1">RANDBETWEEN(30,87)</f>
        <v>72</v>
      </c>
      <c r="M245" s="11">
        <f ca="1">(L245/J245)</f>
        <v>0.23498694516971277</v>
      </c>
      <c r="N245" s="18">
        <v>59</v>
      </c>
      <c r="O245" s="18" t="str">
        <f t="shared" ca="1" si="14"/>
        <v>Understocked</v>
      </c>
      <c r="P245" s="11" t="str">
        <f ca="1">RANDBETWEEN(30,76)&amp;"%"</f>
        <v>33%</v>
      </c>
      <c r="Q245" s="18">
        <f>PRODUCT(K245,N245)</f>
        <v>22325.600000000002</v>
      </c>
    </row>
    <row r="246" spans="1:17" x14ac:dyDescent="0.45">
      <c r="A246" s="6" t="s">
        <v>470</v>
      </c>
      <c r="B246" s="9" t="s">
        <v>465</v>
      </c>
      <c r="C246" s="6" t="s">
        <v>212</v>
      </c>
      <c r="D246" s="18">
        <f ca="1">RANDBETWEEN(500,1000)</f>
        <v>805</v>
      </c>
      <c r="E246" s="19">
        <v>45362</v>
      </c>
      <c r="F246" s="18">
        <v>100</v>
      </c>
      <c r="G246" s="20">
        <v>0.67</v>
      </c>
      <c r="H246" s="18">
        <f t="shared" ca="1" si="12"/>
        <v>76</v>
      </c>
      <c r="I246" s="18">
        <f t="shared" ca="1" si="13"/>
        <v>123</v>
      </c>
      <c r="J246" s="15">
        <f ca="1">K246-L246</f>
        <v>702.4</v>
      </c>
      <c r="K246" s="15">
        <v>765.4</v>
      </c>
      <c r="L246" s="15">
        <f ca="1">RANDBETWEEN(30,87)</f>
        <v>63</v>
      </c>
      <c r="M246" s="11">
        <f ca="1">(L246/J246)</f>
        <v>8.9692482915717547E-2</v>
      </c>
      <c r="N246" s="18">
        <v>20</v>
      </c>
      <c r="O246" s="18" t="str">
        <f t="shared" ca="1" si="14"/>
        <v>Optimal</v>
      </c>
      <c r="P246" s="11" t="str">
        <f ca="1">RANDBETWEEN(30,76)&amp;"%"</f>
        <v>54%</v>
      </c>
      <c r="Q246" s="18">
        <f>PRODUCT(K246,N246)</f>
        <v>15308</v>
      </c>
    </row>
    <row r="247" spans="1:17" x14ac:dyDescent="0.45">
      <c r="A247" s="6" t="s">
        <v>471</v>
      </c>
      <c r="B247" s="9" t="s">
        <v>465</v>
      </c>
      <c r="C247" s="6" t="s">
        <v>212</v>
      </c>
      <c r="D247" s="18">
        <f ca="1">RANDBETWEEN(500,1000)</f>
        <v>660</v>
      </c>
      <c r="E247" s="19">
        <v>45405</v>
      </c>
      <c r="F247" s="18">
        <v>41</v>
      </c>
      <c r="G247" s="20">
        <v>0.49</v>
      </c>
      <c r="H247" s="18">
        <f t="shared" ca="1" si="12"/>
        <v>63</v>
      </c>
      <c r="I247" s="18">
        <f t="shared" ca="1" si="13"/>
        <v>176</v>
      </c>
      <c r="J247" s="15">
        <f ca="1">K247-L247</f>
        <v>579.20000000000005</v>
      </c>
      <c r="K247" s="15">
        <v>619.20000000000005</v>
      </c>
      <c r="L247" s="15">
        <f ca="1">RANDBETWEEN(30,87)</f>
        <v>40</v>
      </c>
      <c r="M247" s="11">
        <f ca="1">(L247/J247)</f>
        <v>6.9060773480662974E-2</v>
      </c>
      <c r="N247" s="18">
        <v>86</v>
      </c>
      <c r="O247" s="18" t="str">
        <f t="shared" ca="1" si="14"/>
        <v>Understocked</v>
      </c>
      <c r="P247" s="11" t="str">
        <f ca="1">RANDBETWEEN(30,76)&amp;"%"</f>
        <v>38%</v>
      </c>
      <c r="Q247" s="18">
        <f>PRODUCT(K247,N247)</f>
        <v>53251.200000000004</v>
      </c>
    </row>
    <row r="248" spans="1:17" x14ac:dyDescent="0.45">
      <c r="A248" s="6" t="s">
        <v>487</v>
      </c>
      <c r="B248" s="9" t="s">
        <v>488</v>
      </c>
      <c r="C248" s="6" t="s">
        <v>212</v>
      </c>
      <c r="D248" s="18">
        <f ca="1">RANDBETWEEN(500,1000)</f>
        <v>763</v>
      </c>
      <c r="E248" s="19">
        <v>45445</v>
      </c>
      <c r="F248" s="18">
        <v>91</v>
      </c>
      <c r="G248" s="20">
        <v>0.84</v>
      </c>
      <c r="H248" s="18">
        <f t="shared" ca="1" si="12"/>
        <v>80</v>
      </c>
      <c r="I248" s="18">
        <f t="shared" ca="1" si="13"/>
        <v>147</v>
      </c>
      <c r="J248" s="15">
        <f ca="1">K248-L248</f>
        <v>213</v>
      </c>
      <c r="K248" s="15">
        <v>258</v>
      </c>
      <c r="L248" s="15">
        <f ca="1">RANDBETWEEN(30,87)</f>
        <v>45</v>
      </c>
      <c r="M248" s="11">
        <f ca="1">(L248/J248)</f>
        <v>0.21126760563380281</v>
      </c>
      <c r="N248" s="18">
        <v>56</v>
      </c>
      <c r="O248" s="18" t="str">
        <f t="shared" ca="1" si="14"/>
        <v>Optimal</v>
      </c>
      <c r="P248" s="11" t="str">
        <f ca="1">RANDBETWEEN(30,76)&amp;"%"</f>
        <v>47%</v>
      </c>
      <c r="Q248" s="18">
        <f>PRODUCT(K248,N248)</f>
        <v>14448</v>
      </c>
    </row>
    <row r="249" spans="1:17" x14ac:dyDescent="0.45">
      <c r="A249" s="6" t="s">
        <v>490</v>
      </c>
      <c r="B249" s="9" t="s">
        <v>488</v>
      </c>
      <c r="C249" s="6" t="s">
        <v>212</v>
      </c>
      <c r="D249" s="18">
        <f ca="1">RANDBETWEEN(500,1000)</f>
        <v>629</v>
      </c>
      <c r="E249" s="19">
        <v>45542</v>
      </c>
      <c r="F249" s="18">
        <v>90</v>
      </c>
      <c r="G249" s="20">
        <v>0.76</v>
      </c>
      <c r="H249" s="18">
        <f t="shared" ca="1" si="12"/>
        <v>58</v>
      </c>
      <c r="I249" s="18">
        <f t="shared" ca="1" si="13"/>
        <v>193</v>
      </c>
      <c r="J249" s="15">
        <f ca="1">K249-L249</f>
        <v>737</v>
      </c>
      <c r="K249" s="15">
        <v>817</v>
      </c>
      <c r="L249" s="15">
        <f ca="1">RANDBETWEEN(30,87)</f>
        <v>80</v>
      </c>
      <c r="M249" s="11">
        <f ca="1">(L249/J249)</f>
        <v>0.10854816824966079</v>
      </c>
      <c r="N249" s="18">
        <v>70</v>
      </c>
      <c r="O249" s="18" t="str">
        <f t="shared" ca="1" si="14"/>
        <v>Optimal</v>
      </c>
      <c r="P249" s="11" t="str">
        <f ca="1">RANDBETWEEN(30,76)&amp;"%"</f>
        <v>63%</v>
      </c>
      <c r="Q249" s="18">
        <f>PRODUCT(K249,N249)</f>
        <v>57190</v>
      </c>
    </row>
    <row r="250" spans="1:17" x14ac:dyDescent="0.45">
      <c r="A250" s="6" t="s">
        <v>491</v>
      </c>
      <c r="B250" s="9" t="s">
        <v>488</v>
      </c>
      <c r="C250" s="6" t="s">
        <v>212</v>
      </c>
      <c r="D250" s="18">
        <f ca="1">RANDBETWEEN(500,1000)</f>
        <v>672</v>
      </c>
      <c r="E250" s="19">
        <v>45462</v>
      </c>
      <c r="F250" s="18">
        <v>26</v>
      </c>
      <c r="G250" s="20">
        <v>0.49</v>
      </c>
      <c r="H250" s="18">
        <f t="shared" ca="1" si="12"/>
        <v>78</v>
      </c>
      <c r="I250" s="18">
        <f t="shared" ca="1" si="13"/>
        <v>179</v>
      </c>
      <c r="J250" s="15">
        <f ca="1">K250-L250</f>
        <v>168</v>
      </c>
      <c r="K250" s="15">
        <v>215</v>
      </c>
      <c r="L250" s="15">
        <f ca="1">RANDBETWEEN(30,87)</f>
        <v>47</v>
      </c>
      <c r="M250" s="11">
        <f ca="1">(L250/J250)</f>
        <v>0.27976190476190477</v>
      </c>
      <c r="N250" s="18">
        <v>25</v>
      </c>
      <c r="O250" s="18" t="str">
        <f t="shared" ca="1" si="14"/>
        <v>Understocked</v>
      </c>
      <c r="P250" s="11" t="str">
        <f ca="1">RANDBETWEEN(30,76)&amp;"%"</f>
        <v>50%</v>
      </c>
      <c r="Q250" s="18">
        <f>PRODUCT(K250,N250)</f>
        <v>5375</v>
      </c>
    </row>
    <row r="251" spans="1:17" x14ac:dyDescent="0.45">
      <c r="A251" s="6" t="s">
        <v>493</v>
      </c>
      <c r="B251" s="9" t="s">
        <v>488</v>
      </c>
      <c r="C251" s="6" t="s">
        <v>212</v>
      </c>
      <c r="D251" s="18">
        <f ca="1">RANDBETWEEN(500,1000)</f>
        <v>798</v>
      </c>
      <c r="E251" s="19">
        <v>45583</v>
      </c>
      <c r="F251" s="18">
        <v>62</v>
      </c>
      <c r="G251" s="20">
        <v>0.73</v>
      </c>
      <c r="H251" s="18">
        <f t="shared" ca="1" si="12"/>
        <v>69</v>
      </c>
      <c r="I251" s="18">
        <f t="shared" ca="1" si="13"/>
        <v>179</v>
      </c>
      <c r="J251" s="15">
        <f ca="1">K251-L251</f>
        <v>465</v>
      </c>
      <c r="K251" s="15">
        <v>516</v>
      </c>
      <c r="L251" s="15">
        <f ca="1">RANDBETWEEN(30,87)</f>
        <v>51</v>
      </c>
      <c r="M251" s="11">
        <f ca="1">(L251/J251)</f>
        <v>0.10967741935483871</v>
      </c>
      <c r="N251" s="18">
        <v>50</v>
      </c>
      <c r="O251" s="18" t="str">
        <f t="shared" ca="1" si="14"/>
        <v>Understocked</v>
      </c>
      <c r="P251" s="11" t="str">
        <f ca="1">RANDBETWEEN(30,76)&amp;"%"</f>
        <v>39%</v>
      </c>
      <c r="Q251" s="18">
        <f>PRODUCT(K251,N251)</f>
        <v>25800</v>
      </c>
    </row>
    <row r="252" spans="1:17" x14ac:dyDescent="0.45">
      <c r="A252" s="6" t="s">
        <v>494</v>
      </c>
      <c r="B252" s="9" t="s">
        <v>488</v>
      </c>
      <c r="C252" s="6" t="s">
        <v>212</v>
      </c>
      <c r="D252" s="18">
        <f ca="1">RANDBETWEEN(500,1000)</f>
        <v>750</v>
      </c>
      <c r="E252" s="19">
        <v>45480</v>
      </c>
      <c r="F252" s="18">
        <v>39</v>
      </c>
      <c r="G252" s="20">
        <v>0.33</v>
      </c>
      <c r="H252" s="18">
        <f t="shared" ca="1" si="12"/>
        <v>50</v>
      </c>
      <c r="I252" s="18">
        <f t="shared" ca="1" si="13"/>
        <v>168</v>
      </c>
      <c r="J252" s="15">
        <f ca="1">K252-L252</f>
        <v>955.80000000000007</v>
      </c>
      <c r="K252" s="15">
        <v>1014.8000000000001</v>
      </c>
      <c r="L252" s="15">
        <f ca="1">RANDBETWEEN(30,87)</f>
        <v>59</v>
      </c>
      <c r="M252" s="11">
        <f ca="1">(L252/J252)</f>
        <v>6.1728395061728392E-2</v>
      </c>
      <c r="N252" s="18">
        <v>47</v>
      </c>
      <c r="O252" s="18" t="str">
        <f t="shared" ca="1" si="14"/>
        <v>Understocked</v>
      </c>
      <c r="P252" s="11" t="str">
        <f ca="1">RANDBETWEEN(30,76)&amp;"%"</f>
        <v>59%</v>
      </c>
      <c r="Q252" s="18">
        <f>PRODUCT(K252,N252)</f>
        <v>47695.600000000006</v>
      </c>
    </row>
    <row r="253" spans="1:17" x14ac:dyDescent="0.45">
      <c r="A253" s="6" t="s">
        <v>548</v>
      </c>
      <c r="B253" s="9" t="s">
        <v>549</v>
      </c>
      <c r="C253" s="6" t="s">
        <v>212</v>
      </c>
      <c r="D253" s="18">
        <f ca="1">RANDBETWEEN(500,1000)</f>
        <v>724</v>
      </c>
      <c r="E253" s="19">
        <v>45367</v>
      </c>
      <c r="F253" s="18">
        <v>12</v>
      </c>
      <c r="G253" s="20">
        <v>0.6</v>
      </c>
      <c r="H253" s="18">
        <f t="shared" ca="1" si="12"/>
        <v>65</v>
      </c>
      <c r="I253" s="18">
        <f t="shared" ca="1" si="13"/>
        <v>76</v>
      </c>
      <c r="J253" s="15">
        <f ca="1">K253-L253</f>
        <v>567</v>
      </c>
      <c r="K253" s="15">
        <v>645</v>
      </c>
      <c r="L253" s="15">
        <f ca="1">RANDBETWEEN(30,87)</f>
        <v>78</v>
      </c>
      <c r="M253" s="11">
        <f ca="1">(L253/J253)</f>
        <v>0.13756613756613756</v>
      </c>
      <c r="N253" s="18">
        <v>20</v>
      </c>
      <c r="O253" s="18" t="str">
        <f t="shared" ca="1" si="14"/>
        <v>Understocked</v>
      </c>
      <c r="P253" s="11" t="str">
        <f ca="1">RANDBETWEEN(30,76)&amp;"%"</f>
        <v>30%</v>
      </c>
      <c r="Q253" s="18">
        <f>PRODUCT(K253,N253)</f>
        <v>12900</v>
      </c>
    </row>
    <row r="254" spans="1:17" x14ac:dyDescent="0.45">
      <c r="A254" s="6" t="s">
        <v>550</v>
      </c>
      <c r="B254" s="9" t="s">
        <v>549</v>
      </c>
      <c r="C254" s="6" t="s">
        <v>212</v>
      </c>
      <c r="D254" s="18">
        <f ca="1">RANDBETWEEN(500,1000)</f>
        <v>763</v>
      </c>
      <c r="E254" s="19">
        <v>45596</v>
      </c>
      <c r="F254" s="18">
        <v>85</v>
      </c>
      <c r="G254" s="20">
        <v>0.35</v>
      </c>
      <c r="H254" s="18">
        <f t="shared" ca="1" si="12"/>
        <v>59</v>
      </c>
      <c r="I254" s="18">
        <f t="shared" ca="1" si="13"/>
        <v>200</v>
      </c>
      <c r="J254" s="15">
        <f ca="1">K254-L254</f>
        <v>473.79999999999995</v>
      </c>
      <c r="K254" s="15">
        <v>541.79999999999995</v>
      </c>
      <c r="L254" s="15">
        <f ca="1">RANDBETWEEN(30,87)</f>
        <v>68</v>
      </c>
      <c r="M254" s="11">
        <f ca="1">(L254/J254)</f>
        <v>0.14352047277332208</v>
      </c>
      <c r="N254" s="18">
        <v>65</v>
      </c>
      <c r="O254" s="18" t="str">
        <f t="shared" ca="1" si="14"/>
        <v>Optimal</v>
      </c>
      <c r="P254" s="11" t="str">
        <f ca="1">RANDBETWEEN(30,76)&amp;"%"</f>
        <v>53%</v>
      </c>
      <c r="Q254" s="18">
        <f>PRODUCT(K254,N254)</f>
        <v>35217</v>
      </c>
    </row>
    <row r="255" spans="1:17" x14ac:dyDescent="0.45">
      <c r="A255" s="6" t="s">
        <v>551</v>
      </c>
      <c r="B255" s="9" t="s">
        <v>549</v>
      </c>
      <c r="C255" s="6" t="s">
        <v>212</v>
      </c>
      <c r="D255" s="18">
        <f ca="1">RANDBETWEEN(500,1000)</f>
        <v>993</v>
      </c>
      <c r="E255" s="19">
        <v>45670</v>
      </c>
      <c r="F255" s="18">
        <v>74</v>
      </c>
      <c r="G255" s="20">
        <v>0.53</v>
      </c>
      <c r="H255" s="18">
        <f t="shared" ca="1" si="12"/>
        <v>68</v>
      </c>
      <c r="I255" s="18">
        <f t="shared" ca="1" si="13"/>
        <v>98</v>
      </c>
      <c r="J255" s="15">
        <f ca="1">K255-L255</f>
        <v>209.2</v>
      </c>
      <c r="K255" s="15">
        <v>275.2</v>
      </c>
      <c r="L255" s="15">
        <f ca="1">RANDBETWEEN(30,87)</f>
        <v>66</v>
      </c>
      <c r="M255" s="11">
        <f ca="1">(L255/J255)</f>
        <v>0.31548757170172087</v>
      </c>
      <c r="N255" s="18">
        <v>65</v>
      </c>
      <c r="O255" s="18" t="str">
        <f t="shared" ca="1" si="14"/>
        <v>Optimal</v>
      </c>
      <c r="P255" s="11" t="str">
        <f ca="1">RANDBETWEEN(30,76)&amp;"%"</f>
        <v>34%</v>
      </c>
      <c r="Q255" s="18">
        <f>PRODUCT(K255,N255)</f>
        <v>17888</v>
      </c>
    </row>
    <row r="256" spans="1:17" x14ac:dyDescent="0.45">
      <c r="A256" s="6" t="s">
        <v>552</v>
      </c>
      <c r="B256" s="9" t="s">
        <v>549</v>
      </c>
      <c r="C256" s="6" t="s">
        <v>212</v>
      </c>
      <c r="D256" s="18">
        <f ca="1">RANDBETWEEN(500,1000)</f>
        <v>719</v>
      </c>
      <c r="E256" s="19">
        <v>45560</v>
      </c>
      <c r="F256" s="18">
        <v>57</v>
      </c>
      <c r="G256" s="20">
        <v>0.57999999999999996</v>
      </c>
      <c r="H256" s="18">
        <f t="shared" ca="1" si="12"/>
        <v>75</v>
      </c>
      <c r="I256" s="18">
        <f t="shared" ca="1" si="13"/>
        <v>86</v>
      </c>
      <c r="J256" s="15">
        <f ca="1">K256-L256</f>
        <v>90</v>
      </c>
      <c r="K256" s="15">
        <v>172</v>
      </c>
      <c r="L256" s="15">
        <f ca="1">RANDBETWEEN(30,87)</f>
        <v>82</v>
      </c>
      <c r="M256" s="11">
        <f ca="1">(L256/J256)</f>
        <v>0.91111111111111109</v>
      </c>
      <c r="N256" s="18">
        <v>23</v>
      </c>
      <c r="O256" s="18" t="str">
        <f t="shared" ca="1" si="14"/>
        <v>Understocked</v>
      </c>
      <c r="P256" s="11" t="str">
        <f ca="1">RANDBETWEEN(30,76)&amp;"%"</f>
        <v>70%</v>
      </c>
      <c r="Q256" s="18">
        <f>PRODUCT(K256,N256)</f>
        <v>3956</v>
      </c>
    </row>
    <row r="257" spans="1:17" x14ac:dyDescent="0.45">
      <c r="A257" s="6" t="s">
        <v>553</v>
      </c>
      <c r="B257" s="9" t="s">
        <v>549</v>
      </c>
      <c r="C257" s="6" t="s">
        <v>212</v>
      </c>
      <c r="D257" s="18">
        <f ca="1">RANDBETWEEN(500,1000)</f>
        <v>877</v>
      </c>
      <c r="E257" s="19">
        <v>45463</v>
      </c>
      <c r="F257" s="18">
        <v>82</v>
      </c>
      <c r="G257" s="20">
        <v>0.56999999999999995</v>
      </c>
      <c r="H257" s="18">
        <f t="shared" ca="1" si="12"/>
        <v>70</v>
      </c>
      <c r="I257" s="18">
        <f t="shared" ca="1" si="13"/>
        <v>132</v>
      </c>
      <c r="J257" s="15">
        <f ca="1">K257-L257</f>
        <v>171</v>
      </c>
      <c r="K257" s="15">
        <v>258</v>
      </c>
      <c r="L257" s="15">
        <f ca="1">RANDBETWEEN(30,87)</f>
        <v>87</v>
      </c>
      <c r="M257" s="11">
        <f ca="1">(L257/J257)</f>
        <v>0.50877192982456143</v>
      </c>
      <c r="N257" s="18">
        <v>69</v>
      </c>
      <c r="O257" s="18" t="str">
        <f t="shared" ca="1" si="14"/>
        <v>Optimal</v>
      </c>
      <c r="P257" s="11" t="str">
        <f ca="1">RANDBETWEEN(30,76)&amp;"%"</f>
        <v>35%</v>
      </c>
      <c r="Q257" s="18">
        <f>PRODUCT(K257,N257)</f>
        <v>17802</v>
      </c>
    </row>
    <row r="258" spans="1:17" x14ac:dyDescent="0.45">
      <c r="A258" s="6" t="s">
        <v>554</v>
      </c>
      <c r="B258" s="9" t="s">
        <v>549</v>
      </c>
      <c r="C258" s="6" t="s">
        <v>212</v>
      </c>
      <c r="D258" s="18">
        <f ca="1">RANDBETWEEN(500,1000)</f>
        <v>795</v>
      </c>
      <c r="E258" s="19">
        <v>45590</v>
      </c>
      <c r="F258" s="18">
        <v>85</v>
      </c>
      <c r="G258" s="20">
        <v>0.76</v>
      </c>
      <c r="H258" s="18">
        <f t="shared" ca="1" si="12"/>
        <v>53</v>
      </c>
      <c r="I258" s="18">
        <f t="shared" ca="1" si="13"/>
        <v>153</v>
      </c>
      <c r="J258" s="15">
        <f ca="1">K258-L258</f>
        <v>990</v>
      </c>
      <c r="K258" s="15">
        <v>1032</v>
      </c>
      <c r="L258" s="15">
        <f ca="1">RANDBETWEEN(30,87)</f>
        <v>42</v>
      </c>
      <c r="M258" s="11">
        <f ca="1">(L258/J258)</f>
        <v>4.2424242424242427E-2</v>
      </c>
      <c r="N258" s="18">
        <v>95</v>
      </c>
      <c r="O258" s="18" t="str">
        <f t="shared" ca="1" si="14"/>
        <v>Optimal</v>
      </c>
      <c r="P258" s="11" t="str">
        <f ca="1">RANDBETWEEN(30,76)&amp;"%"</f>
        <v>39%</v>
      </c>
      <c r="Q258" s="18">
        <f>PRODUCT(K258,N258)</f>
        <v>98040</v>
      </c>
    </row>
    <row r="259" spans="1:17" x14ac:dyDescent="0.45">
      <c r="A259" s="6" t="s">
        <v>555</v>
      </c>
      <c r="B259" s="9" t="s">
        <v>549</v>
      </c>
      <c r="C259" s="6" t="s">
        <v>212</v>
      </c>
      <c r="D259" s="18">
        <f ca="1">RANDBETWEEN(500,1000)</f>
        <v>525</v>
      </c>
      <c r="E259" s="19">
        <v>45663</v>
      </c>
      <c r="F259" s="18">
        <v>14</v>
      </c>
      <c r="G259" s="20">
        <v>0.77</v>
      </c>
      <c r="H259" s="18">
        <f t="shared" ca="1" si="12"/>
        <v>74</v>
      </c>
      <c r="I259" s="18">
        <f t="shared" ca="1" si="13"/>
        <v>118</v>
      </c>
      <c r="J259" s="15">
        <f ca="1">K259-L259</f>
        <v>156</v>
      </c>
      <c r="K259" s="15">
        <v>215</v>
      </c>
      <c r="L259" s="15">
        <f ca="1">RANDBETWEEN(30,87)</f>
        <v>59</v>
      </c>
      <c r="M259" s="11">
        <f ca="1">(L259/J259)</f>
        <v>0.37820512820512819</v>
      </c>
      <c r="N259" s="18">
        <v>28</v>
      </c>
      <c r="O259" s="18" t="str">
        <f t="shared" ca="1" si="14"/>
        <v>Understocked</v>
      </c>
      <c r="P259" s="11" t="str">
        <f ca="1">RANDBETWEEN(30,76)&amp;"%"</f>
        <v>36%</v>
      </c>
      <c r="Q259" s="18">
        <f>PRODUCT(K259,N259)</f>
        <v>6020</v>
      </c>
    </row>
    <row r="260" spans="1:17" x14ac:dyDescent="0.45">
      <c r="A260" s="6" t="s">
        <v>557</v>
      </c>
      <c r="B260" s="9" t="s">
        <v>549</v>
      </c>
      <c r="C260" s="6" t="s">
        <v>212</v>
      </c>
      <c r="D260" s="18">
        <f ca="1">RANDBETWEEN(500,1000)</f>
        <v>599</v>
      </c>
      <c r="E260" s="19">
        <v>45434</v>
      </c>
      <c r="F260" s="18">
        <v>74</v>
      </c>
      <c r="G260" s="20">
        <v>0.75</v>
      </c>
      <c r="H260" s="18">
        <f t="shared" ca="1" si="12"/>
        <v>60</v>
      </c>
      <c r="I260" s="18">
        <f t="shared" ca="1" si="13"/>
        <v>190</v>
      </c>
      <c r="J260" s="15">
        <f ca="1">K260-L260</f>
        <v>63</v>
      </c>
      <c r="K260" s="15">
        <v>129</v>
      </c>
      <c r="L260" s="15">
        <f ca="1">RANDBETWEEN(30,87)</f>
        <v>66</v>
      </c>
      <c r="M260" s="11">
        <f ca="1">(L260/J260)</f>
        <v>1.0476190476190477</v>
      </c>
      <c r="N260" s="18">
        <v>99</v>
      </c>
      <c r="O260" s="18" t="str">
        <f t="shared" ca="1" si="14"/>
        <v>Optimal</v>
      </c>
      <c r="P260" s="11" t="str">
        <f ca="1">RANDBETWEEN(30,76)&amp;"%"</f>
        <v>33%</v>
      </c>
      <c r="Q260" s="18">
        <f>PRODUCT(K260,N260)</f>
        <v>12771</v>
      </c>
    </row>
    <row r="261" spans="1:17" x14ac:dyDescent="0.45">
      <c r="A261" s="6" t="s">
        <v>645</v>
      </c>
      <c r="B261" s="9" t="s">
        <v>646</v>
      </c>
      <c r="C261" s="6" t="s">
        <v>212</v>
      </c>
      <c r="D261" s="18">
        <f ca="1">RANDBETWEEN(500,1000)</f>
        <v>912</v>
      </c>
      <c r="E261" s="19">
        <v>45601</v>
      </c>
      <c r="F261" s="18">
        <v>13</v>
      </c>
      <c r="G261" s="20">
        <v>0.57999999999999996</v>
      </c>
      <c r="H261" s="18">
        <f t="shared" ca="1" si="12"/>
        <v>69</v>
      </c>
      <c r="I261" s="18">
        <f t="shared" ca="1" si="13"/>
        <v>140</v>
      </c>
      <c r="J261" s="15">
        <f ca="1">K261-L261</f>
        <v>59.599999999999994</v>
      </c>
      <c r="K261" s="15">
        <v>137.6</v>
      </c>
      <c r="L261" s="15">
        <f ca="1">RANDBETWEEN(30,87)</f>
        <v>78</v>
      </c>
      <c r="M261" s="11">
        <f ca="1">(L261/J261)</f>
        <v>1.3087248322147653</v>
      </c>
      <c r="N261" s="18">
        <v>46</v>
      </c>
      <c r="O261" s="18" t="str">
        <f t="shared" ca="1" si="14"/>
        <v>Understocked</v>
      </c>
      <c r="P261" s="11" t="str">
        <f ca="1">RANDBETWEEN(30,76)&amp;"%"</f>
        <v>42%</v>
      </c>
      <c r="Q261" s="18">
        <f>PRODUCT(K261,N261)</f>
        <v>6329.5999999999995</v>
      </c>
    </row>
    <row r="262" spans="1:17" x14ac:dyDescent="0.45">
      <c r="A262" s="6" t="s">
        <v>647</v>
      </c>
      <c r="B262" s="9" t="s">
        <v>646</v>
      </c>
      <c r="C262" s="6" t="s">
        <v>212</v>
      </c>
      <c r="D262" s="18">
        <f ca="1">RANDBETWEEN(500,1000)</f>
        <v>679</v>
      </c>
      <c r="E262" s="19">
        <v>45646</v>
      </c>
      <c r="F262" s="18">
        <v>12</v>
      </c>
      <c r="G262" s="20">
        <v>0.31</v>
      </c>
      <c r="H262" s="18">
        <f t="shared" ca="1" si="12"/>
        <v>63</v>
      </c>
      <c r="I262" s="18">
        <f t="shared" ca="1" si="13"/>
        <v>193</v>
      </c>
      <c r="J262" s="15">
        <f ca="1">K262-L262</f>
        <v>393</v>
      </c>
      <c r="K262" s="15">
        <v>430</v>
      </c>
      <c r="L262" s="15">
        <f ca="1">RANDBETWEEN(30,87)</f>
        <v>37</v>
      </c>
      <c r="M262" s="11">
        <f ca="1">(L262/J262)</f>
        <v>9.4147582697201013E-2</v>
      </c>
      <c r="N262" s="18">
        <v>31</v>
      </c>
      <c r="O262" s="18" t="str">
        <f t="shared" ca="1" si="14"/>
        <v>Understocked</v>
      </c>
      <c r="P262" s="11" t="str">
        <f ca="1">RANDBETWEEN(30,76)&amp;"%"</f>
        <v>71%</v>
      </c>
      <c r="Q262" s="18">
        <f>PRODUCT(K262,N262)</f>
        <v>13330</v>
      </c>
    </row>
    <row r="263" spans="1:17" x14ac:dyDescent="0.45">
      <c r="A263" s="6" t="s">
        <v>648</v>
      </c>
      <c r="B263" s="9" t="s">
        <v>646</v>
      </c>
      <c r="C263" s="6" t="s">
        <v>212</v>
      </c>
      <c r="D263" s="18">
        <f ca="1">RANDBETWEEN(500,1000)</f>
        <v>847</v>
      </c>
      <c r="E263" s="19">
        <v>45695</v>
      </c>
      <c r="F263" s="18">
        <v>74</v>
      </c>
      <c r="G263" s="20">
        <v>0.79</v>
      </c>
      <c r="H263" s="18">
        <f t="shared" ca="1" si="12"/>
        <v>54</v>
      </c>
      <c r="I263" s="18">
        <f t="shared" ca="1" si="13"/>
        <v>110</v>
      </c>
      <c r="J263" s="15">
        <f ca="1">K263-L263</f>
        <v>1208</v>
      </c>
      <c r="K263" s="15">
        <v>1290</v>
      </c>
      <c r="L263" s="15">
        <f ca="1">RANDBETWEEN(30,87)</f>
        <v>82</v>
      </c>
      <c r="M263" s="11">
        <f ca="1">(L263/J263)</f>
        <v>6.7880794701986755E-2</v>
      </c>
      <c r="N263" s="18">
        <v>24</v>
      </c>
      <c r="O263" s="18" t="str">
        <f t="shared" ca="1" si="14"/>
        <v>Optimal</v>
      </c>
      <c r="P263" s="11" t="str">
        <f ca="1">RANDBETWEEN(30,76)&amp;"%"</f>
        <v>46%</v>
      </c>
      <c r="Q263" s="18">
        <f>PRODUCT(K263,N263)</f>
        <v>30960</v>
      </c>
    </row>
    <row r="264" spans="1:17" x14ac:dyDescent="0.45">
      <c r="A264" s="6" t="s">
        <v>649</v>
      </c>
      <c r="B264" s="9" t="s">
        <v>646</v>
      </c>
      <c r="C264" s="6" t="s">
        <v>212</v>
      </c>
      <c r="D264" s="18">
        <f ca="1">RANDBETWEEN(500,1000)</f>
        <v>790</v>
      </c>
      <c r="E264" s="19">
        <v>45691</v>
      </c>
      <c r="F264" s="18">
        <v>43</v>
      </c>
      <c r="G264" s="20">
        <v>0.37</v>
      </c>
      <c r="H264" s="18">
        <f t="shared" ca="1" si="12"/>
        <v>53</v>
      </c>
      <c r="I264" s="18">
        <f t="shared" ca="1" si="13"/>
        <v>187</v>
      </c>
      <c r="J264" s="15">
        <f ca="1">K264-L264</f>
        <v>316</v>
      </c>
      <c r="K264" s="15">
        <v>387</v>
      </c>
      <c r="L264" s="15">
        <f ca="1">RANDBETWEEN(30,87)</f>
        <v>71</v>
      </c>
      <c r="M264" s="11">
        <f ca="1">(L264/J264)</f>
        <v>0.22468354430379747</v>
      </c>
      <c r="N264" s="18">
        <v>84</v>
      </c>
      <c r="O264" s="18" t="str">
        <f t="shared" ca="1" si="14"/>
        <v>Understocked</v>
      </c>
      <c r="P264" s="11" t="str">
        <f ca="1">RANDBETWEEN(30,76)&amp;"%"</f>
        <v>44%</v>
      </c>
      <c r="Q264" s="18">
        <f>PRODUCT(K264,N264)</f>
        <v>32508</v>
      </c>
    </row>
    <row r="265" spans="1:17" x14ac:dyDescent="0.45">
      <c r="A265" s="6" t="s">
        <v>650</v>
      </c>
      <c r="B265" s="9" t="s">
        <v>646</v>
      </c>
      <c r="C265" s="6" t="s">
        <v>212</v>
      </c>
      <c r="D265" s="18">
        <f ca="1">RANDBETWEEN(500,1000)</f>
        <v>868</v>
      </c>
      <c r="E265" s="19">
        <v>45452</v>
      </c>
      <c r="F265" s="18">
        <v>18</v>
      </c>
      <c r="G265" s="20">
        <v>0.85</v>
      </c>
      <c r="H265" s="18">
        <f t="shared" ca="1" si="12"/>
        <v>60</v>
      </c>
      <c r="I265" s="18">
        <f t="shared" ca="1" si="13"/>
        <v>114</v>
      </c>
      <c r="J265" s="15">
        <f ca="1">K265-L265</f>
        <v>298</v>
      </c>
      <c r="K265" s="15">
        <v>344</v>
      </c>
      <c r="L265" s="15">
        <f ca="1">RANDBETWEEN(30,87)</f>
        <v>46</v>
      </c>
      <c r="M265" s="11">
        <f ca="1">(L265/J265)</f>
        <v>0.15436241610738255</v>
      </c>
      <c r="N265" s="18">
        <v>73</v>
      </c>
      <c r="O265" s="18" t="str">
        <f t="shared" ca="1" si="14"/>
        <v>Understocked</v>
      </c>
      <c r="P265" s="11" t="str">
        <f ca="1">RANDBETWEEN(30,76)&amp;"%"</f>
        <v>32%</v>
      </c>
      <c r="Q265" s="18">
        <f>PRODUCT(K265,N265)</f>
        <v>25112</v>
      </c>
    </row>
    <row r="266" spans="1:17" x14ac:dyDescent="0.45">
      <c r="A266" s="6" t="s">
        <v>651</v>
      </c>
      <c r="B266" s="9" t="s">
        <v>652</v>
      </c>
      <c r="C266" s="6" t="s">
        <v>212</v>
      </c>
      <c r="D266" s="18">
        <f ca="1">RANDBETWEEN(500,1000)</f>
        <v>595</v>
      </c>
      <c r="E266" s="19">
        <v>45361</v>
      </c>
      <c r="F266" s="18">
        <v>16</v>
      </c>
      <c r="G266" s="20">
        <v>0.31</v>
      </c>
      <c r="H266" s="18">
        <f t="shared" ca="1" si="12"/>
        <v>75</v>
      </c>
      <c r="I266" s="18">
        <f t="shared" ca="1" si="13"/>
        <v>172</v>
      </c>
      <c r="J266" s="15">
        <f ca="1">K266-L266</f>
        <v>444.6</v>
      </c>
      <c r="K266" s="15">
        <v>524.6</v>
      </c>
      <c r="L266" s="15">
        <f ca="1">RANDBETWEEN(30,87)</f>
        <v>80</v>
      </c>
      <c r="M266" s="11">
        <f ca="1">(L266/J266)</f>
        <v>0.17993702204228518</v>
      </c>
      <c r="N266" s="18">
        <v>56</v>
      </c>
      <c r="O266" s="18" t="str">
        <f t="shared" ca="1" si="14"/>
        <v>Understocked</v>
      </c>
      <c r="P266" s="11" t="str">
        <f ca="1">RANDBETWEEN(30,76)&amp;"%"</f>
        <v>61%</v>
      </c>
      <c r="Q266" s="18">
        <f>PRODUCT(K266,N266)</f>
        <v>29377.600000000002</v>
      </c>
    </row>
    <row r="267" spans="1:17" x14ac:dyDescent="0.45">
      <c r="A267" s="6" t="s">
        <v>653</v>
      </c>
      <c r="B267" s="9" t="s">
        <v>652</v>
      </c>
      <c r="C267" s="6" t="s">
        <v>212</v>
      </c>
      <c r="D267" s="18">
        <f ca="1">RANDBETWEEN(500,1000)</f>
        <v>694</v>
      </c>
      <c r="E267" s="19">
        <v>45485</v>
      </c>
      <c r="F267" s="18">
        <v>55</v>
      </c>
      <c r="G267" s="20">
        <v>0.42</v>
      </c>
      <c r="H267" s="18">
        <f t="shared" ca="1" si="12"/>
        <v>64</v>
      </c>
      <c r="I267" s="18">
        <f t="shared" ca="1" si="13"/>
        <v>75</v>
      </c>
      <c r="J267" s="15">
        <f ca="1">K267-L267</f>
        <v>718</v>
      </c>
      <c r="K267" s="15">
        <v>774</v>
      </c>
      <c r="L267" s="15">
        <f ca="1">RANDBETWEEN(30,87)</f>
        <v>56</v>
      </c>
      <c r="M267" s="11">
        <f ca="1">(L267/J267)</f>
        <v>7.7994428969359333E-2</v>
      </c>
      <c r="N267" s="18">
        <v>48</v>
      </c>
      <c r="O267" s="18" t="str">
        <f t="shared" ca="1" si="14"/>
        <v>Understocked</v>
      </c>
      <c r="P267" s="11" t="str">
        <f ca="1">RANDBETWEEN(30,76)&amp;"%"</f>
        <v>41%</v>
      </c>
      <c r="Q267" s="18">
        <f>PRODUCT(K267,N267)</f>
        <v>37152</v>
      </c>
    </row>
    <row r="268" spans="1:17" x14ac:dyDescent="0.45">
      <c r="A268" s="6" t="s">
        <v>654</v>
      </c>
      <c r="B268" s="9" t="s">
        <v>652</v>
      </c>
      <c r="C268" s="6" t="s">
        <v>212</v>
      </c>
      <c r="D268" s="18">
        <f ca="1">RANDBETWEEN(500,1000)</f>
        <v>505</v>
      </c>
      <c r="E268" s="19">
        <v>45616</v>
      </c>
      <c r="F268" s="18">
        <v>45</v>
      </c>
      <c r="G268" s="20">
        <v>0.43</v>
      </c>
      <c r="H268" s="18">
        <f t="shared" ca="1" si="12"/>
        <v>64</v>
      </c>
      <c r="I268" s="18">
        <f t="shared" ca="1" si="13"/>
        <v>82</v>
      </c>
      <c r="J268" s="15">
        <f ca="1">K268-L268</f>
        <v>814</v>
      </c>
      <c r="K268" s="15">
        <v>860</v>
      </c>
      <c r="L268" s="15">
        <f ca="1">RANDBETWEEN(30,87)</f>
        <v>46</v>
      </c>
      <c r="M268" s="11">
        <f ca="1">(L268/J268)</f>
        <v>5.6511056511056514E-2</v>
      </c>
      <c r="N268" s="18">
        <v>83</v>
      </c>
      <c r="O268" s="18" t="str">
        <f t="shared" ca="1" si="14"/>
        <v>Understocked</v>
      </c>
      <c r="P268" s="11" t="str">
        <f ca="1">RANDBETWEEN(30,76)&amp;"%"</f>
        <v>42%</v>
      </c>
      <c r="Q268" s="18">
        <f>PRODUCT(K268,N268)</f>
        <v>71380</v>
      </c>
    </row>
    <row r="269" spans="1:17" x14ac:dyDescent="0.45">
      <c r="A269" s="6" t="s">
        <v>655</v>
      </c>
      <c r="B269" s="9" t="s">
        <v>652</v>
      </c>
      <c r="C269" s="6" t="s">
        <v>212</v>
      </c>
      <c r="D269" s="18">
        <f ca="1">RANDBETWEEN(500,1000)</f>
        <v>951</v>
      </c>
      <c r="E269" s="19">
        <v>45485</v>
      </c>
      <c r="F269" s="18">
        <v>24</v>
      </c>
      <c r="G269" s="20">
        <v>0.66</v>
      </c>
      <c r="H269" s="18">
        <f t="shared" ca="1" si="12"/>
        <v>75</v>
      </c>
      <c r="I269" s="18">
        <f t="shared" ca="1" si="13"/>
        <v>96</v>
      </c>
      <c r="J269" s="15">
        <f ca="1">K269-L269</f>
        <v>980</v>
      </c>
      <c r="K269" s="15">
        <v>1032</v>
      </c>
      <c r="L269" s="15">
        <f ca="1">RANDBETWEEN(30,87)</f>
        <v>52</v>
      </c>
      <c r="M269" s="11">
        <f ca="1">(L269/J269)</f>
        <v>5.3061224489795916E-2</v>
      </c>
      <c r="N269" s="18">
        <v>58</v>
      </c>
      <c r="O269" s="18" t="str">
        <f t="shared" ca="1" si="14"/>
        <v>Understocked</v>
      </c>
      <c r="P269" s="11" t="str">
        <f ca="1">RANDBETWEEN(30,76)&amp;"%"</f>
        <v>74%</v>
      </c>
      <c r="Q269" s="18">
        <f>PRODUCT(K269,N269)</f>
        <v>59856</v>
      </c>
    </row>
    <row r="270" spans="1:17" x14ac:dyDescent="0.45">
      <c r="A270" s="6" t="s">
        <v>656</v>
      </c>
      <c r="B270" s="9" t="s">
        <v>652</v>
      </c>
      <c r="C270" s="6" t="s">
        <v>212</v>
      </c>
      <c r="D270" s="18">
        <f ca="1">RANDBETWEEN(500,1000)</f>
        <v>785</v>
      </c>
      <c r="E270" s="19">
        <v>45566</v>
      </c>
      <c r="F270" s="18">
        <v>96</v>
      </c>
      <c r="G270" s="20">
        <v>0.36</v>
      </c>
      <c r="H270" s="18">
        <f t="shared" ca="1" si="12"/>
        <v>78</v>
      </c>
      <c r="I270" s="18">
        <f t="shared" ca="1" si="13"/>
        <v>75</v>
      </c>
      <c r="J270" s="15">
        <f ca="1">K270-L270</f>
        <v>278</v>
      </c>
      <c r="K270" s="15">
        <v>344</v>
      </c>
      <c r="L270" s="15">
        <f ca="1">RANDBETWEEN(30,87)</f>
        <v>66</v>
      </c>
      <c r="M270" s="11">
        <f ca="1">(L270/J270)</f>
        <v>0.23741007194244604</v>
      </c>
      <c r="N270" s="18">
        <v>72</v>
      </c>
      <c r="O270" s="18" t="str">
        <f t="shared" ca="1" si="14"/>
        <v>Optimal</v>
      </c>
      <c r="P270" s="11" t="str">
        <f ca="1">RANDBETWEEN(30,76)&amp;"%"</f>
        <v>51%</v>
      </c>
      <c r="Q270" s="18">
        <f>PRODUCT(K270,N270)</f>
        <v>24768</v>
      </c>
    </row>
    <row r="271" spans="1:17" x14ac:dyDescent="0.45">
      <c r="A271" s="6" t="s">
        <v>657</v>
      </c>
      <c r="B271" s="9" t="s">
        <v>652</v>
      </c>
      <c r="C271" s="6" t="s">
        <v>212</v>
      </c>
      <c r="D271" s="18">
        <f ca="1">RANDBETWEEN(500,1000)</f>
        <v>502</v>
      </c>
      <c r="E271" s="19">
        <v>45380</v>
      </c>
      <c r="F271" s="18">
        <v>36</v>
      </c>
      <c r="G271" s="20">
        <v>0.69</v>
      </c>
      <c r="H271" s="18">
        <f t="shared" ca="1" si="12"/>
        <v>77</v>
      </c>
      <c r="I271" s="18">
        <f t="shared" ca="1" si="13"/>
        <v>161</v>
      </c>
      <c r="J271" s="15">
        <f ca="1">K271-L271</f>
        <v>465</v>
      </c>
      <c r="K271" s="15">
        <v>516</v>
      </c>
      <c r="L271" s="15">
        <f ca="1">RANDBETWEEN(30,87)</f>
        <v>51</v>
      </c>
      <c r="M271" s="11">
        <f ca="1">(L271/J271)</f>
        <v>0.10967741935483871</v>
      </c>
      <c r="N271" s="18">
        <v>27</v>
      </c>
      <c r="O271" s="18" t="str">
        <f t="shared" ca="1" si="14"/>
        <v>Understocked</v>
      </c>
      <c r="P271" s="11" t="str">
        <f ca="1">RANDBETWEEN(30,76)&amp;"%"</f>
        <v>53%</v>
      </c>
      <c r="Q271" s="18">
        <f>PRODUCT(K271,N271)</f>
        <v>13932</v>
      </c>
    </row>
    <row r="272" spans="1:17" x14ac:dyDescent="0.45">
      <c r="A272" s="6" t="s">
        <v>658</v>
      </c>
      <c r="B272" s="9" t="s">
        <v>652</v>
      </c>
      <c r="C272" s="6" t="s">
        <v>212</v>
      </c>
      <c r="D272" s="18">
        <f ca="1">RANDBETWEEN(500,1000)</f>
        <v>534</v>
      </c>
      <c r="E272" s="19">
        <v>45480</v>
      </c>
      <c r="F272" s="18">
        <v>58</v>
      </c>
      <c r="G272" s="20">
        <v>0.65</v>
      </c>
      <c r="H272" s="18">
        <f t="shared" ca="1" si="12"/>
        <v>58</v>
      </c>
      <c r="I272" s="18">
        <f t="shared" ca="1" si="13"/>
        <v>164</v>
      </c>
      <c r="J272" s="15">
        <f ca="1">K272-L272</f>
        <v>1477</v>
      </c>
      <c r="K272" s="15">
        <v>1548</v>
      </c>
      <c r="L272" s="15">
        <f ca="1">RANDBETWEEN(30,87)</f>
        <v>71</v>
      </c>
      <c r="M272" s="11">
        <f ca="1">(L272/J272)</f>
        <v>4.8070412999322951E-2</v>
      </c>
      <c r="N272" s="18">
        <v>62</v>
      </c>
      <c r="O272" s="18" t="str">
        <f t="shared" ca="1" si="14"/>
        <v>Optimal</v>
      </c>
      <c r="P272" s="11" t="str">
        <f ca="1">RANDBETWEEN(30,76)&amp;"%"</f>
        <v>50%</v>
      </c>
      <c r="Q272" s="18">
        <f>PRODUCT(K272,N272)</f>
        <v>95976</v>
      </c>
    </row>
    <row r="273" spans="1:17" x14ac:dyDescent="0.45">
      <c r="A273" s="6" t="s">
        <v>734</v>
      </c>
      <c r="B273" s="9" t="s">
        <v>735</v>
      </c>
      <c r="C273" s="6" t="s">
        <v>212</v>
      </c>
      <c r="D273" s="18">
        <f ca="1">RANDBETWEEN(500,1000)</f>
        <v>660</v>
      </c>
      <c r="E273" s="19">
        <v>45647</v>
      </c>
      <c r="F273" s="18">
        <v>38</v>
      </c>
      <c r="G273" s="20">
        <v>0.66</v>
      </c>
      <c r="H273" s="18">
        <f t="shared" ca="1" si="12"/>
        <v>79</v>
      </c>
      <c r="I273" s="18">
        <f t="shared" ca="1" si="13"/>
        <v>188</v>
      </c>
      <c r="J273" s="15">
        <f ca="1">K273-L273</f>
        <v>281.59999999999997</v>
      </c>
      <c r="K273" s="15">
        <v>352.59999999999997</v>
      </c>
      <c r="L273" s="15">
        <f ca="1">RANDBETWEEN(30,87)</f>
        <v>71</v>
      </c>
      <c r="M273" s="11">
        <f ca="1">(L273/J273)</f>
        <v>0.25213068181818182</v>
      </c>
      <c r="N273" s="18">
        <v>35</v>
      </c>
      <c r="O273" s="18" t="str">
        <f t="shared" ca="1" si="14"/>
        <v>Understocked</v>
      </c>
      <c r="P273" s="11" t="str">
        <f ca="1">RANDBETWEEN(30,76)&amp;"%"</f>
        <v>45%</v>
      </c>
      <c r="Q273" s="18">
        <f>PRODUCT(K273,N273)</f>
        <v>12340.999999999998</v>
      </c>
    </row>
    <row r="274" spans="1:17" x14ac:dyDescent="0.45">
      <c r="A274" s="6" t="s">
        <v>736</v>
      </c>
      <c r="B274" s="9" t="s">
        <v>735</v>
      </c>
      <c r="C274" s="6" t="s">
        <v>212</v>
      </c>
      <c r="D274" s="18">
        <f ca="1">RANDBETWEEN(500,1000)</f>
        <v>759</v>
      </c>
      <c r="E274" s="19">
        <v>45459</v>
      </c>
      <c r="F274" s="18">
        <v>96</v>
      </c>
      <c r="G274" s="20">
        <v>0.64</v>
      </c>
      <c r="H274" s="18">
        <f t="shared" ca="1" si="12"/>
        <v>51</v>
      </c>
      <c r="I274" s="18">
        <f t="shared" ca="1" si="13"/>
        <v>143</v>
      </c>
      <c r="J274" s="15">
        <f ca="1">K274-L274</f>
        <v>283</v>
      </c>
      <c r="K274" s="15">
        <v>344</v>
      </c>
      <c r="L274" s="15">
        <f ca="1">RANDBETWEEN(30,87)</f>
        <v>61</v>
      </c>
      <c r="M274" s="11">
        <f ca="1">(L274/J274)</f>
        <v>0.21554770318021202</v>
      </c>
      <c r="N274" s="18">
        <v>78</v>
      </c>
      <c r="O274" s="18" t="str">
        <f t="shared" ca="1" si="14"/>
        <v>Optimal</v>
      </c>
      <c r="P274" s="11" t="str">
        <f ca="1">RANDBETWEEN(30,76)&amp;"%"</f>
        <v>61%</v>
      </c>
      <c r="Q274" s="18">
        <f>PRODUCT(K274,N274)</f>
        <v>26832</v>
      </c>
    </row>
    <row r="275" spans="1:17" x14ac:dyDescent="0.45">
      <c r="A275" s="6" t="s">
        <v>737</v>
      </c>
      <c r="B275" s="9" t="s">
        <v>735</v>
      </c>
      <c r="C275" s="6" t="s">
        <v>212</v>
      </c>
      <c r="D275" s="18">
        <f ca="1">RANDBETWEEN(500,1000)</f>
        <v>572</v>
      </c>
      <c r="E275" s="19">
        <v>45643</v>
      </c>
      <c r="F275" s="18">
        <v>63</v>
      </c>
      <c r="G275" s="20">
        <v>0.69</v>
      </c>
      <c r="H275" s="18">
        <f t="shared" ca="1" si="12"/>
        <v>52</v>
      </c>
      <c r="I275" s="18">
        <f t="shared" ca="1" si="13"/>
        <v>174</v>
      </c>
      <c r="J275" s="15">
        <f ca="1">K275-L275</f>
        <v>131</v>
      </c>
      <c r="K275" s="15">
        <v>172</v>
      </c>
      <c r="L275" s="15">
        <f ca="1">RANDBETWEEN(30,87)</f>
        <v>41</v>
      </c>
      <c r="M275" s="11">
        <f ca="1">(L275/J275)</f>
        <v>0.31297709923664124</v>
      </c>
      <c r="N275" s="18">
        <v>37</v>
      </c>
      <c r="O275" s="18" t="str">
        <f t="shared" ca="1" si="14"/>
        <v>Optimal</v>
      </c>
      <c r="P275" s="11" t="str">
        <f ca="1">RANDBETWEEN(30,76)&amp;"%"</f>
        <v>36%</v>
      </c>
      <c r="Q275" s="18">
        <f>PRODUCT(K275,N275)</f>
        <v>6364</v>
      </c>
    </row>
    <row r="276" spans="1:17" x14ac:dyDescent="0.45">
      <c r="A276" s="6" t="s">
        <v>738</v>
      </c>
      <c r="B276" s="9" t="s">
        <v>735</v>
      </c>
      <c r="C276" s="6" t="s">
        <v>212</v>
      </c>
      <c r="D276" s="18">
        <f ca="1">RANDBETWEEN(500,1000)</f>
        <v>583</v>
      </c>
      <c r="E276" s="19">
        <v>45404</v>
      </c>
      <c r="F276" s="18">
        <v>37</v>
      </c>
      <c r="G276" s="20">
        <v>0.46</v>
      </c>
      <c r="H276" s="18">
        <f t="shared" ca="1" si="12"/>
        <v>56</v>
      </c>
      <c r="I276" s="18">
        <f t="shared" ca="1" si="13"/>
        <v>134</v>
      </c>
      <c r="J276" s="15">
        <f ca="1">K276-L276</f>
        <v>181</v>
      </c>
      <c r="K276" s="15">
        <v>258</v>
      </c>
      <c r="L276" s="15">
        <f ca="1">RANDBETWEEN(30,87)</f>
        <v>77</v>
      </c>
      <c r="M276" s="11">
        <f ca="1">(L276/J276)</f>
        <v>0.425414364640884</v>
      </c>
      <c r="N276" s="18">
        <v>39</v>
      </c>
      <c r="O276" s="18" t="str">
        <f t="shared" ca="1" si="14"/>
        <v>Understocked</v>
      </c>
      <c r="P276" s="11" t="str">
        <f ca="1">RANDBETWEEN(30,76)&amp;"%"</f>
        <v>58%</v>
      </c>
      <c r="Q276" s="18">
        <f>PRODUCT(K276,N276)</f>
        <v>10062</v>
      </c>
    </row>
    <row r="277" spans="1:17" x14ac:dyDescent="0.45">
      <c r="A277" s="6" t="s">
        <v>739</v>
      </c>
      <c r="B277" s="9" t="s">
        <v>735</v>
      </c>
      <c r="C277" s="6" t="s">
        <v>212</v>
      </c>
      <c r="D277" s="18">
        <f ca="1">RANDBETWEEN(500,1000)</f>
        <v>571</v>
      </c>
      <c r="E277" s="19">
        <v>45625</v>
      </c>
      <c r="F277" s="18">
        <v>65</v>
      </c>
      <c r="G277" s="20">
        <v>0.79</v>
      </c>
      <c r="H277" s="18">
        <f t="shared" ca="1" si="12"/>
        <v>78</v>
      </c>
      <c r="I277" s="18">
        <f t="shared" ca="1" si="13"/>
        <v>153</v>
      </c>
      <c r="J277" s="15">
        <f ca="1">K277-L277</f>
        <v>819</v>
      </c>
      <c r="K277" s="15">
        <v>860</v>
      </c>
      <c r="L277" s="15">
        <f ca="1">RANDBETWEEN(30,87)</f>
        <v>41</v>
      </c>
      <c r="M277" s="11">
        <f ca="1">(L277/J277)</f>
        <v>5.0061050061050064E-2</v>
      </c>
      <c r="N277" s="18">
        <v>69</v>
      </c>
      <c r="O277" s="18" t="str">
        <f t="shared" ca="1" si="14"/>
        <v>Understocked</v>
      </c>
      <c r="P277" s="11" t="str">
        <f ca="1">RANDBETWEEN(30,76)&amp;"%"</f>
        <v>36%</v>
      </c>
      <c r="Q277" s="18">
        <f>PRODUCT(K277,N277)</f>
        <v>59340</v>
      </c>
    </row>
    <row r="278" spans="1:17" x14ac:dyDescent="0.45">
      <c r="A278" s="6" t="s">
        <v>740</v>
      </c>
      <c r="B278" s="9" t="s">
        <v>735</v>
      </c>
      <c r="C278" s="6" t="s">
        <v>212</v>
      </c>
      <c r="D278" s="18">
        <f ca="1">RANDBETWEEN(500,1000)</f>
        <v>504</v>
      </c>
      <c r="E278" s="19">
        <v>45670</v>
      </c>
      <c r="F278" s="18">
        <v>63</v>
      </c>
      <c r="G278" s="20">
        <v>0.56999999999999995</v>
      </c>
      <c r="H278" s="18">
        <f t="shared" ca="1" si="12"/>
        <v>78</v>
      </c>
      <c r="I278" s="18">
        <f t="shared" ca="1" si="13"/>
        <v>165</v>
      </c>
      <c r="J278" s="15">
        <f ca="1">K278-L278</f>
        <v>145</v>
      </c>
      <c r="K278" s="15">
        <v>215</v>
      </c>
      <c r="L278" s="15">
        <f ca="1">RANDBETWEEN(30,87)</f>
        <v>70</v>
      </c>
      <c r="M278" s="11">
        <f ca="1">(L278/J278)</f>
        <v>0.48275862068965519</v>
      </c>
      <c r="N278" s="18">
        <v>59</v>
      </c>
      <c r="O278" s="18" t="str">
        <f t="shared" ca="1" si="14"/>
        <v>Understocked</v>
      </c>
      <c r="P278" s="11" t="str">
        <f ca="1">RANDBETWEEN(30,76)&amp;"%"</f>
        <v>45%</v>
      </c>
      <c r="Q278" s="18">
        <f>PRODUCT(K278,N278)</f>
        <v>12685</v>
      </c>
    </row>
    <row r="279" spans="1:17" x14ac:dyDescent="0.45">
      <c r="A279" s="6" t="s">
        <v>741</v>
      </c>
      <c r="B279" s="9" t="s">
        <v>735</v>
      </c>
      <c r="C279" s="6" t="s">
        <v>212</v>
      </c>
      <c r="D279" s="18">
        <f ca="1">RANDBETWEEN(500,1000)</f>
        <v>961</v>
      </c>
      <c r="E279" s="19">
        <v>45631</v>
      </c>
      <c r="F279" s="18">
        <v>99</v>
      </c>
      <c r="G279" s="20">
        <v>0.35</v>
      </c>
      <c r="H279" s="18">
        <f t="shared" ca="1" si="12"/>
        <v>50</v>
      </c>
      <c r="I279" s="18">
        <f t="shared" ca="1" si="13"/>
        <v>78</v>
      </c>
      <c r="J279" s="15">
        <f ca="1">K279-L279</f>
        <v>569</v>
      </c>
      <c r="K279" s="15">
        <v>602</v>
      </c>
      <c r="L279" s="15">
        <f ca="1">RANDBETWEEN(30,87)</f>
        <v>33</v>
      </c>
      <c r="M279" s="11">
        <f ca="1">(L279/J279)</f>
        <v>5.7996485061511421E-2</v>
      </c>
      <c r="N279" s="18">
        <v>69</v>
      </c>
      <c r="O279" s="18" t="str">
        <f t="shared" ca="1" si="14"/>
        <v>Optimal</v>
      </c>
      <c r="P279" s="11" t="str">
        <f ca="1">RANDBETWEEN(30,76)&amp;"%"</f>
        <v>67%</v>
      </c>
      <c r="Q279" s="18">
        <f>PRODUCT(K279,N279)</f>
        <v>41538</v>
      </c>
    </row>
    <row r="280" spans="1:17" x14ac:dyDescent="0.45">
      <c r="A280" s="6" t="s">
        <v>742</v>
      </c>
      <c r="B280" s="9" t="s">
        <v>735</v>
      </c>
      <c r="C280" s="6" t="s">
        <v>212</v>
      </c>
      <c r="D280" s="18">
        <f ca="1">RANDBETWEEN(500,1000)</f>
        <v>748</v>
      </c>
      <c r="E280" s="19">
        <v>45577</v>
      </c>
      <c r="F280" s="18">
        <v>80</v>
      </c>
      <c r="G280" s="20">
        <v>0.7</v>
      </c>
      <c r="H280" s="18">
        <f t="shared" ca="1" si="12"/>
        <v>64</v>
      </c>
      <c r="I280" s="18">
        <f t="shared" ca="1" si="13"/>
        <v>165</v>
      </c>
      <c r="J280" s="15">
        <f ca="1">K280-L280</f>
        <v>1499</v>
      </c>
      <c r="K280" s="15">
        <v>1548</v>
      </c>
      <c r="L280" s="15">
        <f ca="1">RANDBETWEEN(30,87)</f>
        <v>49</v>
      </c>
      <c r="M280" s="11">
        <f ca="1">(L280/J280)</f>
        <v>3.2688458972648431E-2</v>
      </c>
      <c r="N280" s="18">
        <v>100</v>
      </c>
      <c r="O280" s="18" t="str">
        <f t="shared" ca="1" si="14"/>
        <v>Optimal</v>
      </c>
      <c r="P280" s="11" t="str">
        <f ca="1">RANDBETWEEN(30,76)&amp;"%"</f>
        <v>37%</v>
      </c>
      <c r="Q280" s="18">
        <f>PRODUCT(K280,N280)</f>
        <v>154800</v>
      </c>
    </row>
    <row r="281" spans="1:17" x14ac:dyDescent="0.45">
      <c r="A281" s="6" t="s">
        <v>743</v>
      </c>
      <c r="B281" s="9" t="s">
        <v>735</v>
      </c>
      <c r="C281" s="6" t="s">
        <v>212</v>
      </c>
      <c r="D281" s="18">
        <f ca="1">RANDBETWEEN(500,1000)</f>
        <v>714</v>
      </c>
      <c r="E281" s="19">
        <v>45569</v>
      </c>
      <c r="F281" s="18">
        <v>52</v>
      </c>
      <c r="G281" s="20">
        <v>0.57999999999999996</v>
      </c>
      <c r="H281" s="18">
        <f t="shared" ca="1" si="12"/>
        <v>73</v>
      </c>
      <c r="I281" s="18">
        <f t="shared" ca="1" si="13"/>
        <v>177</v>
      </c>
      <c r="J281" s="15">
        <f ca="1">K281-L281</f>
        <v>1639</v>
      </c>
      <c r="K281" s="15">
        <v>1720</v>
      </c>
      <c r="L281" s="15">
        <f ca="1">RANDBETWEEN(30,87)</f>
        <v>81</v>
      </c>
      <c r="M281" s="11">
        <f ca="1">(L281/J281)</f>
        <v>4.9420378279438681E-2</v>
      </c>
      <c r="N281" s="18">
        <v>31</v>
      </c>
      <c r="O281" s="18" t="str">
        <f t="shared" ca="1" si="14"/>
        <v>Understocked</v>
      </c>
      <c r="P281" s="11" t="str">
        <f ca="1">RANDBETWEEN(30,76)&amp;"%"</f>
        <v>36%</v>
      </c>
      <c r="Q281" s="18">
        <f>PRODUCT(K281,N281)</f>
        <v>53320</v>
      </c>
    </row>
    <row r="282" spans="1:17" x14ac:dyDescent="0.45">
      <c r="A282" s="6" t="s">
        <v>849</v>
      </c>
      <c r="B282" s="9" t="s">
        <v>850</v>
      </c>
      <c r="C282" s="6" t="s">
        <v>212</v>
      </c>
      <c r="D282" s="18">
        <f ca="1">RANDBETWEEN(500,1000)</f>
        <v>682</v>
      </c>
      <c r="E282" s="19">
        <v>45476</v>
      </c>
      <c r="F282" s="18">
        <v>50</v>
      </c>
      <c r="G282" s="20">
        <v>0.49</v>
      </c>
      <c r="H282" s="18">
        <f t="shared" ca="1" si="12"/>
        <v>56</v>
      </c>
      <c r="I282" s="18">
        <f t="shared" ca="1" si="13"/>
        <v>113</v>
      </c>
      <c r="J282" s="15">
        <f ca="1">K282-L282</f>
        <v>2098</v>
      </c>
      <c r="K282" s="15">
        <v>2150</v>
      </c>
      <c r="L282" s="15">
        <f ca="1">RANDBETWEEN(30,87)</f>
        <v>52</v>
      </c>
      <c r="M282" s="11">
        <f ca="1">(L282/J282)</f>
        <v>2.4785510009532889E-2</v>
      </c>
      <c r="N282" s="18">
        <v>88</v>
      </c>
      <c r="O282" s="18" t="str">
        <f t="shared" ca="1" si="14"/>
        <v>Understocked</v>
      </c>
      <c r="P282" s="11" t="str">
        <f ca="1">RANDBETWEEN(30,76)&amp;"%"</f>
        <v>69%</v>
      </c>
      <c r="Q282" s="18">
        <f>PRODUCT(K282,N282)</f>
        <v>189200</v>
      </c>
    </row>
    <row r="283" spans="1:17" x14ac:dyDescent="0.45">
      <c r="A283" s="6" t="s">
        <v>851</v>
      </c>
      <c r="B283" s="9" t="s">
        <v>850</v>
      </c>
      <c r="C283" s="6" t="s">
        <v>212</v>
      </c>
      <c r="D283" s="18">
        <f ca="1">RANDBETWEEN(500,1000)</f>
        <v>983</v>
      </c>
      <c r="E283" s="19">
        <v>45514</v>
      </c>
      <c r="F283" s="18">
        <v>49</v>
      </c>
      <c r="G283" s="20">
        <v>0.31</v>
      </c>
      <c r="H283" s="18">
        <f t="shared" ca="1" si="12"/>
        <v>62</v>
      </c>
      <c r="I283" s="18">
        <f t="shared" ca="1" si="13"/>
        <v>98</v>
      </c>
      <c r="J283" s="15">
        <f ca="1">K283-L283</f>
        <v>450</v>
      </c>
      <c r="K283" s="15">
        <v>516</v>
      </c>
      <c r="L283" s="15">
        <f ca="1">RANDBETWEEN(30,87)</f>
        <v>66</v>
      </c>
      <c r="M283" s="11">
        <f ca="1">(L283/J283)</f>
        <v>0.14666666666666667</v>
      </c>
      <c r="N283" s="18">
        <v>38</v>
      </c>
      <c r="O283" s="18" t="str">
        <f t="shared" ca="1" si="14"/>
        <v>Understocked</v>
      </c>
      <c r="P283" s="11" t="str">
        <f ca="1">RANDBETWEEN(30,76)&amp;"%"</f>
        <v>66%</v>
      </c>
      <c r="Q283" s="18">
        <f>PRODUCT(K283,N283)</f>
        <v>19608</v>
      </c>
    </row>
    <row r="284" spans="1:17" x14ac:dyDescent="0.45">
      <c r="A284" s="6" t="s">
        <v>852</v>
      </c>
      <c r="B284" s="9" t="s">
        <v>850</v>
      </c>
      <c r="C284" s="6" t="s">
        <v>212</v>
      </c>
      <c r="D284" s="18">
        <f ca="1">RANDBETWEEN(500,1000)</f>
        <v>609</v>
      </c>
      <c r="E284" s="19">
        <v>45671</v>
      </c>
      <c r="F284" s="18">
        <v>49</v>
      </c>
      <c r="G284" s="20">
        <v>0.42</v>
      </c>
      <c r="H284" s="18">
        <f t="shared" ca="1" si="12"/>
        <v>79</v>
      </c>
      <c r="I284" s="18">
        <f t="shared" ca="1" si="13"/>
        <v>90</v>
      </c>
      <c r="J284" s="15">
        <f ca="1">K284-L284</f>
        <v>185</v>
      </c>
      <c r="K284" s="15">
        <v>215</v>
      </c>
      <c r="L284" s="15">
        <f ca="1">RANDBETWEEN(30,87)</f>
        <v>30</v>
      </c>
      <c r="M284" s="11">
        <f ca="1">(L284/J284)</f>
        <v>0.16216216216216217</v>
      </c>
      <c r="N284" s="18">
        <v>70</v>
      </c>
      <c r="O284" s="18" t="str">
        <f t="shared" ca="1" si="14"/>
        <v>Understocked</v>
      </c>
      <c r="P284" s="11" t="str">
        <f ca="1">RANDBETWEEN(30,76)&amp;"%"</f>
        <v>31%</v>
      </c>
      <c r="Q284" s="18">
        <f>PRODUCT(K284,N284)</f>
        <v>15050</v>
      </c>
    </row>
    <row r="285" spans="1:17" x14ac:dyDescent="0.45">
      <c r="A285" s="6" t="s">
        <v>853</v>
      </c>
      <c r="B285" s="9" t="s">
        <v>850</v>
      </c>
      <c r="C285" s="6" t="s">
        <v>212</v>
      </c>
      <c r="D285" s="18">
        <f ca="1">RANDBETWEEN(500,1000)</f>
        <v>615</v>
      </c>
      <c r="E285" s="19">
        <v>45682</v>
      </c>
      <c r="F285" s="18">
        <v>91</v>
      </c>
      <c r="G285" s="20">
        <v>0.39</v>
      </c>
      <c r="H285" s="18">
        <f t="shared" ca="1" si="12"/>
        <v>55</v>
      </c>
      <c r="I285" s="18">
        <f t="shared" ca="1" si="13"/>
        <v>144</v>
      </c>
      <c r="J285" s="15">
        <f ca="1">K285-L285</f>
        <v>19</v>
      </c>
      <c r="K285" s="15">
        <v>86</v>
      </c>
      <c r="L285" s="15">
        <f ca="1">RANDBETWEEN(30,87)</f>
        <v>67</v>
      </c>
      <c r="M285" s="11">
        <f ca="1">(L285/J285)</f>
        <v>3.5263157894736841</v>
      </c>
      <c r="N285" s="18">
        <v>50</v>
      </c>
      <c r="O285" s="18" t="str">
        <f t="shared" ca="1" si="14"/>
        <v>Optimal</v>
      </c>
      <c r="P285" s="11" t="str">
        <f ca="1">RANDBETWEEN(30,76)&amp;"%"</f>
        <v>60%</v>
      </c>
      <c r="Q285" s="18">
        <f>PRODUCT(K285,N285)</f>
        <v>4300</v>
      </c>
    </row>
    <row r="286" spans="1:17" x14ac:dyDescent="0.45">
      <c r="A286" t="s">
        <v>350</v>
      </c>
      <c r="B286" t="s">
        <v>348</v>
      </c>
      <c r="C286" t="s">
        <v>212</v>
      </c>
      <c r="D286" s="18">
        <f ca="1">RANDBETWEEN(500,1000)</f>
        <v>602</v>
      </c>
      <c r="E286" s="1">
        <v>45626</v>
      </c>
      <c r="F286">
        <v>89</v>
      </c>
      <c r="G286" s="2">
        <v>0.5</v>
      </c>
      <c r="H286" s="18">
        <f t="shared" ca="1" si="12"/>
        <v>69</v>
      </c>
      <c r="I286" s="18">
        <f t="shared" ca="1" si="13"/>
        <v>152</v>
      </c>
      <c r="J286" s="4">
        <f ca="1">K286-L286</f>
        <v>811.80000000000007</v>
      </c>
      <c r="K286" s="4">
        <v>885.80000000000007</v>
      </c>
      <c r="L286" s="4">
        <f ca="1">RANDBETWEEN(30,87)</f>
        <v>74</v>
      </c>
      <c r="M286" s="3">
        <f ca="1">(L286/J286)</f>
        <v>9.1155457009115537E-2</v>
      </c>
      <c r="N286">
        <v>94</v>
      </c>
      <c r="O286" s="18" t="str">
        <f t="shared" ca="1" si="14"/>
        <v>Optimal</v>
      </c>
      <c r="P286">
        <v>55</v>
      </c>
    </row>
    <row r="287" spans="1:17" x14ac:dyDescent="0.45">
      <c r="A287" s="6" t="s">
        <v>854</v>
      </c>
      <c r="B287" s="9" t="s">
        <v>850</v>
      </c>
      <c r="C287" s="6" t="s">
        <v>212</v>
      </c>
      <c r="D287" s="18">
        <f ca="1">RANDBETWEEN(500,1000)</f>
        <v>637</v>
      </c>
      <c r="E287" s="19">
        <v>45473</v>
      </c>
      <c r="F287" s="18">
        <v>51</v>
      </c>
      <c r="G287" s="20">
        <v>0.6</v>
      </c>
      <c r="H287" s="18">
        <f t="shared" ca="1" si="12"/>
        <v>70</v>
      </c>
      <c r="I287" s="18">
        <f t="shared" ca="1" si="13"/>
        <v>168</v>
      </c>
      <c r="J287" s="15">
        <f ca="1">K287-L287</f>
        <v>491</v>
      </c>
      <c r="K287" s="15">
        <v>559</v>
      </c>
      <c r="L287" s="15">
        <f ca="1">RANDBETWEEN(30,87)</f>
        <v>68</v>
      </c>
      <c r="M287" s="11">
        <f ca="1">(L287/J287)</f>
        <v>0.1384928716904277</v>
      </c>
      <c r="N287" s="18">
        <v>54</v>
      </c>
      <c r="O287" s="18" t="str">
        <f t="shared" ca="1" si="14"/>
        <v>Understocked</v>
      </c>
      <c r="P287" s="11" t="str">
        <f ca="1">RANDBETWEEN(30,76)&amp;"%"</f>
        <v>69%</v>
      </c>
      <c r="Q287" s="18">
        <f>PRODUCT(K287,N287)</f>
        <v>30186</v>
      </c>
    </row>
    <row r="288" spans="1:17" x14ac:dyDescent="0.45">
      <c r="A288" s="6" t="s">
        <v>855</v>
      </c>
      <c r="B288" s="9" t="s">
        <v>850</v>
      </c>
      <c r="C288" s="6" t="s">
        <v>212</v>
      </c>
      <c r="D288" s="18">
        <f ca="1">RANDBETWEEN(500,1000)</f>
        <v>596</v>
      </c>
      <c r="E288" s="19">
        <v>45675</v>
      </c>
      <c r="F288" s="18">
        <v>66</v>
      </c>
      <c r="G288" s="20">
        <v>0.49</v>
      </c>
      <c r="H288" s="18">
        <f t="shared" ca="1" si="12"/>
        <v>78</v>
      </c>
      <c r="I288" s="18">
        <f t="shared" ca="1" si="13"/>
        <v>75</v>
      </c>
      <c r="J288" s="15">
        <f ca="1">K288-L288</f>
        <v>291</v>
      </c>
      <c r="K288" s="15">
        <v>344</v>
      </c>
      <c r="L288" s="15">
        <f ca="1">RANDBETWEEN(30,87)</f>
        <v>53</v>
      </c>
      <c r="M288" s="11">
        <f ca="1">(L288/J288)</f>
        <v>0.18213058419243985</v>
      </c>
      <c r="N288" s="18">
        <v>43</v>
      </c>
      <c r="O288" s="18" t="str">
        <f t="shared" ca="1" si="14"/>
        <v>Understocked</v>
      </c>
      <c r="P288" s="11" t="str">
        <f ca="1">RANDBETWEEN(30,76)&amp;"%"</f>
        <v>42%</v>
      </c>
      <c r="Q288" s="18">
        <f>PRODUCT(K288,N288)</f>
        <v>14792</v>
      </c>
    </row>
    <row r="289" spans="1:17" x14ac:dyDescent="0.45">
      <c r="A289" s="6" t="s">
        <v>856</v>
      </c>
      <c r="B289" s="9" t="s">
        <v>850</v>
      </c>
      <c r="C289" s="6" t="s">
        <v>212</v>
      </c>
      <c r="D289" s="18">
        <f ca="1">RANDBETWEEN(500,1000)</f>
        <v>828</v>
      </c>
      <c r="E289" s="19">
        <v>45503</v>
      </c>
      <c r="F289" s="18">
        <v>96</v>
      </c>
      <c r="G289" s="20">
        <v>0.51</v>
      </c>
      <c r="H289" s="18">
        <f t="shared" ca="1" si="12"/>
        <v>62</v>
      </c>
      <c r="I289" s="18">
        <f t="shared" ca="1" si="13"/>
        <v>119</v>
      </c>
      <c r="J289" s="15">
        <f ca="1">K289-L289</f>
        <v>294</v>
      </c>
      <c r="K289" s="15">
        <v>344</v>
      </c>
      <c r="L289" s="15">
        <f ca="1">RANDBETWEEN(30,87)</f>
        <v>50</v>
      </c>
      <c r="M289" s="11">
        <f ca="1">(L289/J289)</f>
        <v>0.17006802721088435</v>
      </c>
      <c r="N289" s="18">
        <v>94</v>
      </c>
      <c r="O289" s="18" t="str">
        <f t="shared" ca="1" si="14"/>
        <v>Optimal</v>
      </c>
      <c r="P289" s="11" t="str">
        <f ca="1">RANDBETWEEN(30,76)&amp;"%"</f>
        <v>63%</v>
      </c>
      <c r="Q289" s="18">
        <f>PRODUCT(K289,N289)</f>
        <v>32336</v>
      </c>
    </row>
    <row r="290" spans="1:17" x14ac:dyDescent="0.45">
      <c r="A290" s="6" t="s">
        <v>857</v>
      </c>
      <c r="B290" s="9" t="s">
        <v>850</v>
      </c>
      <c r="C290" s="6" t="s">
        <v>212</v>
      </c>
      <c r="D290" s="18">
        <f ca="1">RANDBETWEEN(500,1000)</f>
        <v>705</v>
      </c>
      <c r="E290" s="19">
        <v>45445</v>
      </c>
      <c r="F290" s="18">
        <v>88</v>
      </c>
      <c r="G290" s="20">
        <v>0.73</v>
      </c>
      <c r="H290" s="18">
        <f t="shared" ca="1" si="12"/>
        <v>51</v>
      </c>
      <c r="I290" s="18">
        <f t="shared" ca="1" si="13"/>
        <v>148</v>
      </c>
      <c r="J290" s="15">
        <f ca="1">K290-L290</f>
        <v>441</v>
      </c>
      <c r="K290" s="15">
        <v>516</v>
      </c>
      <c r="L290" s="15">
        <f ca="1">RANDBETWEEN(30,87)</f>
        <v>75</v>
      </c>
      <c r="M290" s="11">
        <f ca="1">(L290/J290)</f>
        <v>0.17006802721088435</v>
      </c>
      <c r="N290" s="18">
        <v>23</v>
      </c>
      <c r="O290" s="18" t="str">
        <f t="shared" ca="1" si="14"/>
        <v>Optimal</v>
      </c>
      <c r="P290" s="11" t="str">
        <f ca="1">RANDBETWEEN(30,76)&amp;"%"</f>
        <v>41%</v>
      </c>
      <c r="Q290" s="18">
        <f>PRODUCT(K290,N290)</f>
        <v>11868</v>
      </c>
    </row>
    <row r="291" spans="1:17" x14ac:dyDescent="0.45">
      <c r="A291" t="s">
        <v>356</v>
      </c>
      <c r="B291" t="s">
        <v>353</v>
      </c>
      <c r="C291" t="s">
        <v>212</v>
      </c>
      <c r="D291" s="18">
        <f ca="1">RANDBETWEEN(500,1000)</f>
        <v>765</v>
      </c>
      <c r="E291" s="1">
        <v>45424</v>
      </c>
      <c r="F291">
        <v>18</v>
      </c>
      <c r="G291" s="2">
        <v>0.75</v>
      </c>
      <c r="H291" s="18">
        <f t="shared" ca="1" si="12"/>
        <v>60</v>
      </c>
      <c r="I291" s="18">
        <f t="shared" ca="1" si="13"/>
        <v>116</v>
      </c>
      <c r="J291" s="4">
        <f ca="1">K291-L291</f>
        <v>2063</v>
      </c>
      <c r="K291" s="4">
        <v>2150</v>
      </c>
      <c r="L291" s="4">
        <f ca="1">RANDBETWEEN(30,87)</f>
        <v>87</v>
      </c>
      <c r="M291" s="3">
        <f ca="1">(L291/J291)</f>
        <v>4.2171594764905479E-2</v>
      </c>
      <c r="N291">
        <v>78</v>
      </c>
      <c r="O291" s="18" t="str">
        <f t="shared" ca="1" si="14"/>
        <v>Understocked</v>
      </c>
      <c r="P291">
        <v>16</v>
      </c>
    </row>
    <row r="292" spans="1:17" x14ac:dyDescent="0.45">
      <c r="A292" s="6" t="s">
        <v>858</v>
      </c>
      <c r="B292" s="9" t="s">
        <v>850</v>
      </c>
      <c r="C292" s="6" t="s">
        <v>212</v>
      </c>
      <c r="D292" s="18">
        <f ca="1">RANDBETWEEN(500,1000)</f>
        <v>917</v>
      </c>
      <c r="E292" s="19">
        <v>45526</v>
      </c>
      <c r="F292" s="18">
        <v>64</v>
      </c>
      <c r="G292" s="20">
        <v>0.55000000000000004</v>
      </c>
      <c r="H292" s="18">
        <f t="shared" ca="1" si="12"/>
        <v>53</v>
      </c>
      <c r="I292" s="18">
        <f t="shared" ca="1" si="13"/>
        <v>171</v>
      </c>
      <c r="J292" s="15">
        <f ca="1">K292-L292</f>
        <v>205</v>
      </c>
      <c r="K292" s="15">
        <v>258</v>
      </c>
      <c r="L292" s="15">
        <f ca="1">RANDBETWEEN(30,87)</f>
        <v>53</v>
      </c>
      <c r="M292" s="11">
        <f ca="1">(L292/J292)</f>
        <v>0.25853658536585367</v>
      </c>
      <c r="N292" s="18">
        <v>55</v>
      </c>
      <c r="O292" s="18" t="str">
        <f t="shared" ca="1" si="14"/>
        <v>Optimal</v>
      </c>
      <c r="P292" s="11" t="str">
        <f ca="1">RANDBETWEEN(30,76)&amp;"%"</f>
        <v>71%</v>
      </c>
      <c r="Q292" s="18">
        <f>PRODUCT(K292,N292)</f>
        <v>14190</v>
      </c>
    </row>
    <row r="293" spans="1:17" x14ac:dyDescent="0.45">
      <c r="A293" s="6" t="s">
        <v>915</v>
      </c>
      <c r="B293" s="9" t="s">
        <v>916</v>
      </c>
      <c r="C293" s="6" t="s">
        <v>212</v>
      </c>
      <c r="D293" s="18">
        <f ca="1">RANDBETWEEN(500,1000)</f>
        <v>571</v>
      </c>
      <c r="E293" s="19">
        <v>45564</v>
      </c>
      <c r="F293" s="18">
        <v>11</v>
      </c>
      <c r="G293" s="20">
        <v>0.69</v>
      </c>
      <c r="H293" s="18">
        <f t="shared" ca="1" si="12"/>
        <v>73</v>
      </c>
      <c r="I293" s="18">
        <f t="shared" ca="1" si="13"/>
        <v>92</v>
      </c>
      <c r="J293" s="15">
        <f ca="1">K293-L293</f>
        <v>265</v>
      </c>
      <c r="K293" s="15">
        <v>344</v>
      </c>
      <c r="L293" s="15">
        <f ca="1">RANDBETWEEN(30,87)</f>
        <v>79</v>
      </c>
      <c r="M293" s="11">
        <f ca="1">(L293/J293)</f>
        <v>0.2981132075471698</v>
      </c>
      <c r="N293" s="18">
        <v>84</v>
      </c>
      <c r="O293" s="18" t="str">
        <f t="shared" ca="1" si="14"/>
        <v>Understocked</v>
      </c>
      <c r="P293" s="11" t="str">
        <f ca="1">RANDBETWEEN(30,76)&amp;"%"</f>
        <v>70%</v>
      </c>
      <c r="Q293" s="18">
        <f>PRODUCT(K293,N293)</f>
        <v>28896</v>
      </c>
    </row>
    <row r="294" spans="1:17" x14ac:dyDescent="0.45">
      <c r="A294" s="6" t="s">
        <v>917</v>
      </c>
      <c r="B294" s="9" t="s">
        <v>916</v>
      </c>
      <c r="C294" s="6" t="s">
        <v>212</v>
      </c>
      <c r="D294" s="18">
        <f ca="1">RANDBETWEEN(500,1000)</f>
        <v>608</v>
      </c>
      <c r="E294" s="19">
        <v>45635</v>
      </c>
      <c r="F294" s="18">
        <v>92</v>
      </c>
      <c r="G294" s="20">
        <v>0.72</v>
      </c>
      <c r="H294" s="18">
        <f t="shared" ca="1" si="12"/>
        <v>79</v>
      </c>
      <c r="I294" s="18">
        <f t="shared" ca="1" si="13"/>
        <v>108</v>
      </c>
      <c r="J294" s="15">
        <f ca="1">K294-L294</f>
        <v>698</v>
      </c>
      <c r="K294" s="15">
        <v>774</v>
      </c>
      <c r="L294" s="15">
        <f ca="1">RANDBETWEEN(30,87)</f>
        <v>76</v>
      </c>
      <c r="M294" s="11">
        <f ca="1">(L294/J294)</f>
        <v>0.10888252148997135</v>
      </c>
      <c r="N294" s="18">
        <v>23</v>
      </c>
      <c r="O294" s="18" t="str">
        <f t="shared" ca="1" si="14"/>
        <v>Optimal</v>
      </c>
      <c r="P294" s="11" t="str">
        <f ca="1">RANDBETWEEN(30,76)&amp;"%"</f>
        <v>52%</v>
      </c>
      <c r="Q294" s="18">
        <f>PRODUCT(K294,N294)</f>
        <v>17802</v>
      </c>
    </row>
    <row r="295" spans="1:17" x14ac:dyDescent="0.45">
      <c r="A295" s="6" t="s">
        <v>918</v>
      </c>
      <c r="B295" s="9" t="s">
        <v>916</v>
      </c>
      <c r="C295" s="6" t="s">
        <v>212</v>
      </c>
      <c r="D295" s="18">
        <f ca="1">RANDBETWEEN(500,1000)</f>
        <v>633</v>
      </c>
      <c r="E295" s="19">
        <v>45499</v>
      </c>
      <c r="F295" s="18">
        <v>22</v>
      </c>
      <c r="G295" s="20">
        <v>0.8</v>
      </c>
      <c r="H295" s="18">
        <f t="shared" ca="1" si="12"/>
        <v>80</v>
      </c>
      <c r="I295" s="18">
        <f t="shared" ca="1" si="13"/>
        <v>93</v>
      </c>
      <c r="J295" s="15">
        <f ca="1">K295-L295</f>
        <v>547</v>
      </c>
      <c r="K295" s="15">
        <v>602</v>
      </c>
      <c r="L295" s="15">
        <f ca="1">RANDBETWEEN(30,87)</f>
        <v>55</v>
      </c>
      <c r="M295" s="11">
        <f ca="1">(L295/J295)</f>
        <v>0.10054844606946983</v>
      </c>
      <c r="N295" s="18">
        <v>45</v>
      </c>
      <c r="O295" s="18" t="str">
        <f t="shared" ca="1" si="14"/>
        <v>Understocked</v>
      </c>
      <c r="P295" s="11" t="str">
        <f ca="1">RANDBETWEEN(30,76)&amp;"%"</f>
        <v>76%</v>
      </c>
      <c r="Q295" s="18">
        <f>PRODUCT(K295,N295)</f>
        <v>27090</v>
      </c>
    </row>
    <row r="296" spans="1:17" x14ac:dyDescent="0.45">
      <c r="A296" s="6" t="s">
        <v>919</v>
      </c>
      <c r="B296" s="9" t="s">
        <v>916</v>
      </c>
      <c r="C296" s="6" t="s">
        <v>212</v>
      </c>
      <c r="D296" s="18">
        <f ca="1">RANDBETWEEN(500,1000)</f>
        <v>666</v>
      </c>
      <c r="E296" s="19">
        <v>45439</v>
      </c>
      <c r="F296" s="18">
        <v>81</v>
      </c>
      <c r="G296" s="20">
        <v>0.87</v>
      </c>
      <c r="H296" s="18">
        <f t="shared" ca="1" si="12"/>
        <v>77</v>
      </c>
      <c r="I296" s="18">
        <f t="shared" ca="1" si="13"/>
        <v>150</v>
      </c>
      <c r="J296" s="15">
        <f ca="1">K296-L296</f>
        <v>82.4</v>
      </c>
      <c r="K296" s="15">
        <v>163.4</v>
      </c>
      <c r="L296" s="15">
        <f ca="1">RANDBETWEEN(30,87)</f>
        <v>81</v>
      </c>
      <c r="M296" s="11">
        <f ca="1">(L296/J296)</f>
        <v>0.98300970873786397</v>
      </c>
      <c r="N296" s="18">
        <v>68</v>
      </c>
      <c r="O296" s="18" t="str">
        <f t="shared" ca="1" si="14"/>
        <v>Optimal</v>
      </c>
      <c r="P296" s="11" t="str">
        <f ca="1">RANDBETWEEN(30,76)&amp;"%"</f>
        <v>60%</v>
      </c>
      <c r="Q296" s="18">
        <f>PRODUCT(K296,N296)</f>
        <v>11111.2</v>
      </c>
    </row>
    <row r="297" spans="1:17" x14ac:dyDescent="0.45">
      <c r="A297" s="6" t="s">
        <v>920</v>
      </c>
      <c r="B297" s="9" t="s">
        <v>916</v>
      </c>
      <c r="C297" s="6" t="s">
        <v>212</v>
      </c>
      <c r="D297" s="18">
        <f ca="1">RANDBETWEEN(500,1000)</f>
        <v>660</v>
      </c>
      <c r="E297" s="19">
        <v>45599</v>
      </c>
      <c r="F297" s="18">
        <v>29</v>
      </c>
      <c r="G297" s="20">
        <v>0.3</v>
      </c>
      <c r="H297" s="18">
        <f t="shared" ca="1" si="12"/>
        <v>69</v>
      </c>
      <c r="I297" s="18">
        <f t="shared" ca="1" si="13"/>
        <v>105</v>
      </c>
      <c r="J297" s="15">
        <f ca="1">K297-L297</f>
        <v>515</v>
      </c>
      <c r="K297" s="15">
        <v>602</v>
      </c>
      <c r="L297" s="15">
        <f ca="1">RANDBETWEEN(30,87)</f>
        <v>87</v>
      </c>
      <c r="M297" s="11">
        <f ca="1">(L297/J297)</f>
        <v>0.16893203883495145</v>
      </c>
      <c r="N297" s="18">
        <v>23</v>
      </c>
      <c r="O297" s="18" t="str">
        <f t="shared" ca="1" si="14"/>
        <v>Understocked</v>
      </c>
      <c r="P297" s="11" t="str">
        <f ca="1">RANDBETWEEN(30,76)&amp;"%"</f>
        <v>51%</v>
      </c>
      <c r="Q297" s="18">
        <f>PRODUCT(K297,N297)</f>
        <v>13846</v>
      </c>
    </row>
    <row r="298" spans="1:17" x14ac:dyDescent="0.45">
      <c r="A298" s="6" t="s">
        <v>921</v>
      </c>
      <c r="B298" s="9" t="s">
        <v>916</v>
      </c>
      <c r="C298" s="6" t="s">
        <v>212</v>
      </c>
      <c r="D298" s="18">
        <f ca="1">RANDBETWEEN(500,1000)</f>
        <v>849</v>
      </c>
      <c r="E298" s="19">
        <v>45542</v>
      </c>
      <c r="F298" s="18">
        <v>43</v>
      </c>
      <c r="G298" s="20">
        <v>0.81</v>
      </c>
      <c r="H298" s="18">
        <f t="shared" ca="1" si="12"/>
        <v>80</v>
      </c>
      <c r="I298" s="18">
        <f t="shared" ca="1" si="13"/>
        <v>127</v>
      </c>
      <c r="J298" s="15">
        <f ca="1">K298-L298</f>
        <v>197.1</v>
      </c>
      <c r="K298" s="15">
        <v>245.1</v>
      </c>
      <c r="L298" s="15">
        <f ca="1">RANDBETWEEN(30,87)</f>
        <v>48</v>
      </c>
      <c r="M298" s="11">
        <f ca="1">(L298/J298)</f>
        <v>0.24353120243531204</v>
      </c>
      <c r="N298" s="18">
        <v>59</v>
      </c>
      <c r="O298" s="18" t="str">
        <f t="shared" ca="1" si="14"/>
        <v>Understocked</v>
      </c>
      <c r="P298" s="11" t="str">
        <f ca="1">RANDBETWEEN(30,76)&amp;"%"</f>
        <v>56%</v>
      </c>
      <c r="Q298" s="18">
        <f>PRODUCT(K298,N298)</f>
        <v>14460.9</v>
      </c>
    </row>
    <row r="299" spans="1:17" x14ac:dyDescent="0.45">
      <c r="A299" s="6" t="s">
        <v>973</v>
      </c>
      <c r="B299" s="9" t="s">
        <v>974</v>
      </c>
      <c r="C299" s="6" t="s">
        <v>212</v>
      </c>
      <c r="D299" s="18">
        <f ca="1">RANDBETWEEN(500,1000)</f>
        <v>561</v>
      </c>
      <c r="E299" s="19">
        <v>45431</v>
      </c>
      <c r="F299" s="18">
        <v>49</v>
      </c>
      <c r="G299" s="20">
        <v>0.39</v>
      </c>
      <c r="H299" s="18">
        <f t="shared" ref="H299:H308" ca="1" si="15">RANDBETWEEN(50,80)</f>
        <v>74</v>
      </c>
      <c r="I299" s="18">
        <f t="shared" ref="I299:I308" ca="1" si="16">RANDBETWEEN(70,200)</f>
        <v>77</v>
      </c>
      <c r="J299" s="15">
        <f ca="1">K299-L299</f>
        <v>478</v>
      </c>
      <c r="K299" s="15">
        <v>516</v>
      </c>
      <c r="L299" s="15">
        <f ca="1">RANDBETWEEN(30,87)</f>
        <v>38</v>
      </c>
      <c r="M299" s="11">
        <f ca="1">(L299/J299)</f>
        <v>7.9497907949790794E-2</v>
      </c>
      <c r="N299" s="18">
        <v>78</v>
      </c>
      <c r="O299" s="18" t="str">
        <f t="shared" ref="O299:O308" ca="1" si="17">IF(F299&lt;H299,"Understocked","Optimal")</f>
        <v>Understocked</v>
      </c>
      <c r="P299" s="11" t="str">
        <f ca="1">RANDBETWEEN(30,76)&amp;"%"</f>
        <v>31%</v>
      </c>
      <c r="Q299" s="18">
        <f>PRODUCT(K299,N299)</f>
        <v>40248</v>
      </c>
    </row>
    <row r="300" spans="1:17" x14ac:dyDescent="0.45">
      <c r="A300" s="6" t="s">
        <v>976</v>
      </c>
      <c r="B300" s="9" t="s">
        <v>974</v>
      </c>
      <c r="C300" s="6" t="s">
        <v>212</v>
      </c>
      <c r="D300" s="18">
        <f ca="1">RANDBETWEEN(500,1000)</f>
        <v>919</v>
      </c>
      <c r="E300" s="19">
        <v>45609</v>
      </c>
      <c r="F300" s="18">
        <v>29</v>
      </c>
      <c r="G300" s="20">
        <v>0.85</v>
      </c>
      <c r="H300" s="18">
        <f t="shared" ca="1" si="15"/>
        <v>56</v>
      </c>
      <c r="I300" s="18">
        <f t="shared" ca="1" si="16"/>
        <v>84</v>
      </c>
      <c r="J300" s="15">
        <f ca="1">K300-L300</f>
        <v>773</v>
      </c>
      <c r="K300" s="15">
        <v>817</v>
      </c>
      <c r="L300" s="15">
        <f ca="1">RANDBETWEEN(30,87)</f>
        <v>44</v>
      </c>
      <c r="M300" s="11">
        <f ca="1">(L300/J300)</f>
        <v>5.6921086675291076E-2</v>
      </c>
      <c r="N300" s="18">
        <v>59</v>
      </c>
      <c r="O300" s="18" t="str">
        <f t="shared" ca="1" si="17"/>
        <v>Understocked</v>
      </c>
      <c r="P300" s="11" t="str">
        <f ca="1">RANDBETWEEN(30,76)&amp;"%"</f>
        <v>67%</v>
      </c>
      <c r="Q300" s="18">
        <f>PRODUCT(K300,N300)</f>
        <v>48203</v>
      </c>
    </row>
    <row r="301" spans="1:17" x14ac:dyDescent="0.45">
      <c r="A301" s="6" t="s">
        <v>977</v>
      </c>
      <c r="B301" s="9" t="s">
        <v>974</v>
      </c>
      <c r="C301" s="6" t="s">
        <v>212</v>
      </c>
      <c r="D301" s="18">
        <f ca="1">RANDBETWEEN(500,1000)</f>
        <v>911</v>
      </c>
      <c r="E301" s="19">
        <v>45664</v>
      </c>
      <c r="F301" s="18">
        <v>20</v>
      </c>
      <c r="G301" s="20">
        <v>0.46</v>
      </c>
      <c r="H301" s="18">
        <f t="shared" ca="1" si="15"/>
        <v>69</v>
      </c>
      <c r="I301" s="18">
        <f t="shared" ca="1" si="16"/>
        <v>200</v>
      </c>
      <c r="J301" s="15">
        <f ca="1">K301-L301</f>
        <v>288</v>
      </c>
      <c r="K301" s="15">
        <v>344</v>
      </c>
      <c r="L301" s="15">
        <f ca="1">RANDBETWEEN(30,87)</f>
        <v>56</v>
      </c>
      <c r="M301" s="11">
        <f ca="1">(L301/J301)</f>
        <v>0.19444444444444445</v>
      </c>
      <c r="N301" s="18">
        <v>50</v>
      </c>
      <c r="O301" s="18" t="str">
        <f t="shared" ca="1" si="17"/>
        <v>Understocked</v>
      </c>
      <c r="P301" s="11" t="str">
        <f ca="1">RANDBETWEEN(30,76)&amp;"%"</f>
        <v>45%</v>
      </c>
      <c r="Q301" s="18">
        <f>PRODUCT(K301,N301)</f>
        <v>17200</v>
      </c>
    </row>
    <row r="302" spans="1:17" x14ac:dyDescent="0.45">
      <c r="A302" s="6" t="s">
        <v>978</v>
      </c>
      <c r="B302" s="9" t="s">
        <v>974</v>
      </c>
      <c r="C302" s="6" t="s">
        <v>212</v>
      </c>
      <c r="D302" s="18">
        <f ca="1">RANDBETWEEN(500,1000)</f>
        <v>992</v>
      </c>
      <c r="E302" s="19">
        <v>45585</v>
      </c>
      <c r="F302" s="18">
        <v>96</v>
      </c>
      <c r="G302" s="20">
        <v>0.81</v>
      </c>
      <c r="H302" s="18">
        <f t="shared" ca="1" si="15"/>
        <v>76</v>
      </c>
      <c r="I302" s="18">
        <f t="shared" ca="1" si="16"/>
        <v>176</v>
      </c>
      <c r="J302" s="15">
        <f ca="1">K302-L302</f>
        <v>604</v>
      </c>
      <c r="K302" s="15">
        <v>688</v>
      </c>
      <c r="L302" s="15">
        <f ca="1">RANDBETWEEN(30,87)</f>
        <v>84</v>
      </c>
      <c r="M302" s="11">
        <f ca="1">(L302/J302)</f>
        <v>0.13907284768211919</v>
      </c>
      <c r="N302" s="18">
        <v>71</v>
      </c>
      <c r="O302" s="18" t="str">
        <f t="shared" ca="1" si="17"/>
        <v>Optimal</v>
      </c>
      <c r="P302" s="11" t="str">
        <f ca="1">RANDBETWEEN(30,76)&amp;"%"</f>
        <v>60%</v>
      </c>
      <c r="Q302" s="18">
        <f>PRODUCT(K302,N302)</f>
        <v>48848</v>
      </c>
    </row>
    <row r="303" spans="1:17" x14ac:dyDescent="0.45">
      <c r="A303" s="6" t="s">
        <v>979</v>
      </c>
      <c r="B303" s="9" t="s">
        <v>974</v>
      </c>
      <c r="C303" s="6" t="s">
        <v>212</v>
      </c>
      <c r="D303" s="18">
        <f ca="1">RANDBETWEEN(500,1000)</f>
        <v>903</v>
      </c>
      <c r="E303" s="19">
        <v>45427</v>
      </c>
      <c r="F303" s="18">
        <v>93</v>
      </c>
      <c r="G303" s="20">
        <v>0.72</v>
      </c>
      <c r="H303" s="18">
        <f t="shared" ca="1" si="15"/>
        <v>78</v>
      </c>
      <c r="I303" s="18">
        <f t="shared" ca="1" si="16"/>
        <v>98</v>
      </c>
      <c r="J303" s="15">
        <f ca="1">K303-L303</f>
        <v>279</v>
      </c>
      <c r="K303" s="15">
        <v>344</v>
      </c>
      <c r="L303" s="15">
        <f ca="1">RANDBETWEEN(30,87)</f>
        <v>65</v>
      </c>
      <c r="M303" s="11">
        <f ca="1">(L303/J303)</f>
        <v>0.23297491039426524</v>
      </c>
      <c r="N303" s="18">
        <v>93</v>
      </c>
      <c r="O303" s="18" t="str">
        <f t="shared" ca="1" si="17"/>
        <v>Optimal</v>
      </c>
      <c r="P303" s="11" t="str">
        <f ca="1">RANDBETWEEN(30,76)&amp;"%"</f>
        <v>30%</v>
      </c>
      <c r="Q303" s="18">
        <f>PRODUCT(K303,N303)</f>
        <v>31992</v>
      </c>
    </row>
    <row r="304" spans="1:17" x14ac:dyDescent="0.45">
      <c r="A304" s="6" t="s">
        <v>980</v>
      </c>
      <c r="B304" s="9" t="s">
        <v>974</v>
      </c>
      <c r="C304" s="6" t="s">
        <v>212</v>
      </c>
      <c r="D304" s="18">
        <f ca="1">RANDBETWEEN(500,1000)</f>
        <v>509</v>
      </c>
      <c r="E304" s="19">
        <v>45389</v>
      </c>
      <c r="F304" s="18">
        <v>85</v>
      </c>
      <c r="G304" s="20">
        <v>0.78</v>
      </c>
      <c r="H304" s="18">
        <f t="shared" ca="1" si="15"/>
        <v>68</v>
      </c>
      <c r="I304" s="18">
        <f t="shared" ca="1" si="16"/>
        <v>174</v>
      </c>
      <c r="J304" s="15">
        <f ca="1">K304-L304</f>
        <v>471</v>
      </c>
      <c r="K304" s="15">
        <v>516</v>
      </c>
      <c r="L304" s="15">
        <f ca="1">RANDBETWEEN(30,87)</f>
        <v>45</v>
      </c>
      <c r="M304" s="11">
        <f ca="1">(L304/J304)</f>
        <v>9.5541401273885357E-2</v>
      </c>
      <c r="N304" s="18">
        <v>68</v>
      </c>
      <c r="O304" s="18" t="str">
        <f t="shared" ca="1" si="17"/>
        <v>Optimal</v>
      </c>
      <c r="P304" s="11" t="str">
        <f ca="1">RANDBETWEEN(30,76)&amp;"%"</f>
        <v>68%</v>
      </c>
      <c r="Q304" s="18">
        <f>PRODUCT(K304,N304)</f>
        <v>35088</v>
      </c>
    </row>
    <row r="305" spans="1:17" x14ac:dyDescent="0.45">
      <c r="A305" s="6" t="s">
        <v>981</v>
      </c>
      <c r="B305" s="9" t="s">
        <v>974</v>
      </c>
      <c r="C305" s="6" t="s">
        <v>212</v>
      </c>
      <c r="D305" s="18">
        <f ca="1">RANDBETWEEN(500,1000)</f>
        <v>677</v>
      </c>
      <c r="E305" s="19">
        <v>45428</v>
      </c>
      <c r="F305" s="18">
        <v>64</v>
      </c>
      <c r="G305" s="20">
        <v>0.7</v>
      </c>
      <c r="H305" s="18">
        <f t="shared" ca="1" si="15"/>
        <v>75</v>
      </c>
      <c r="I305" s="18">
        <f t="shared" ca="1" si="16"/>
        <v>111</v>
      </c>
      <c r="J305" s="15">
        <f ca="1">K305-L305</f>
        <v>135</v>
      </c>
      <c r="K305" s="15">
        <v>215</v>
      </c>
      <c r="L305" s="15">
        <f ca="1">RANDBETWEEN(30,87)</f>
        <v>80</v>
      </c>
      <c r="M305" s="11">
        <f ca="1">(L305/J305)</f>
        <v>0.59259259259259256</v>
      </c>
      <c r="N305" s="18">
        <v>53</v>
      </c>
      <c r="O305" s="18" t="str">
        <f t="shared" ca="1" si="17"/>
        <v>Understocked</v>
      </c>
      <c r="P305" s="11" t="str">
        <f ca="1">RANDBETWEEN(30,76)&amp;"%"</f>
        <v>53%</v>
      </c>
      <c r="Q305" s="18">
        <f>PRODUCT(K305,N305)</f>
        <v>11395</v>
      </c>
    </row>
    <row r="306" spans="1:17" x14ac:dyDescent="0.45">
      <c r="A306" s="6" t="s">
        <v>982</v>
      </c>
      <c r="B306" s="9" t="s">
        <v>974</v>
      </c>
      <c r="C306" s="6" t="s">
        <v>212</v>
      </c>
      <c r="D306" s="18">
        <f ca="1">RANDBETWEEN(500,1000)</f>
        <v>801</v>
      </c>
      <c r="E306" s="19">
        <v>45634</v>
      </c>
      <c r="F306" s="18">
        <v>70</v>
      </c>
      <c r="G306" s="20">
        <v>0.6</v>
      </c>
      <c r="H306" s="18">
        <f t="shared" ca="1" si="15"/>
        <v>51</v>
      </c>
      <c r="I306" s="18">
        <f t="shared" ca="1" si="16"/>
        <v>200</v>
      </c>
      <c r="J306" s="15">
        <f ca="1">K306-L306</f>
        <v>314</v>
      </c>
      <c r="K306" s="15">
        <v>387</v>
      </c>
      <c r="L306" s="15">
        <f ca="1">RANDBETWEEN(30,87)</f>
        <v>73</v>
      </c>
      <c r="M306" s="11">
        <f ca="1">(L306/J306)</f>
        <v>0.23248407643312102</v>
      </c>
      <c r="N306" s="18">
        <v>71</v>
      </c>
      <c r="O306" s="18" t="str">
        <f t="shared" ca="1" si="17"/>
        <v>Optimal</v>
      </c>
      <c r="P306" s="11" t="str">
        <f ca="1">RANDBETWEEN(30,76)&amp;"%"</f>
        <v>34%</v>
      </c>
      <c r="Q306" s="18">
        <f>PRODUCT(K306,N306)</f>
        <v>27477</v>
      </c>
    </row>
    <row r="307" spans="1:17" x14ac:dyDescent="0.45">
      <c r="A307" s="6" t="s">
        <v>1043</v>
      </c>
      <c r="B307" s="9" t="s">
        <v>1044</v>
      </c>
      <c r="C307" s="6" t="s">
        <v>212</v>
      </c>
      <c r="D307" s="18">
        <f ca="1">RANDBETWEEN(500,1000)</f>
        <v>925</v>
      </c>
      <c r="E307" s="19">
        <v>45636</v>
      </c>
      <c r="F307" s="18">
        <v>76</v>
      </c>
      <c r="G307" s="20">
        <v>0.56999999999999995</v>
      </c>
      <c r="H307" s="18">
        <f t="shared" ca="1" si="15"/>
        <v>73</v>
      </c>
      <c r="I307" s="18">
        <f t="shared" ca="1" si="16"/>
        <v>154</v>
      </c>
      <c r="J307" s="15">
        <f ca="1">K307-L307</f>
        <v>44</v>
      </c>
      <c r="K307" s="15">
        <v>129</v>
      </c>
      <c r="L307" s="15">
        <f ca="1">RANDBETWEEN(30,87)</f>
        <v>85</v>
      </c>
      <c r="M307" s="11">
        <f ca="1">(L307/J307)</f>
        <v>1.9318181818181819</v>
      </c>
      <c r="N307" s="18">
        <v>65</v>
      </c>
      <c r="O307" s="18" t="str">
        <f t="shared" ca="1" si="17"/>
        <v>Optimal</v>
      </c>
      <c r="P307" s="11" t="str">
        <f ca="1">RANDBETWEEN(30,76)&amp;"%"</f>
        <v>76%</v>
      </c>
      <c r="Q307" s="18">
        <f>PRODUCT(K307,N307)</f>
        <v>8385</v>
      </c>
    </row>
    <row r="308" spans="1:17" x14ac:dyDescent="0.45">
      <c r="A308" s="6" t="s">
        <v>1045</v>
      </c>
      <c r="B308" s="9" t="s">
        <v>1044</v>
      </c>
      <c r="C308" s="6" t="s">
        <v>212</v>
      </c>
      <c r="D308" s="18">
        <f ca="1">RANDBETWEEN(500,1000)</f>
        <v>796</v>
      </c>
      <c r="E308" s="19">
        <v>45647</v>
      </c>
      <c r="F308" s="18">
        <v>98</v>
      </c>
      <c r="G308" s="20">
        <v>0.77</v>
      </c>
      <c r="H308" s="18">
        <f t="shared" ca="1" si="15"/>
        <v>66</v>
      </c>
      <c r="I308" s="18">
        <f t="shared" ca="1" si="16"/>
        <v>119</v>
      </c>
      <c r="J308" s="15">
        <f ca="1">K308-L308</f>
        <v>652</v>
      </c>
      <c r="K308" s="15">
        <v>688</v>
      </c>
      <c r="L308" s="15">
        <f ca="1">RANDBETWEEN(30,87)</f>
        <v>36</v>
      </c>
      <c r="M308" s="11">
        <f ca="1">(L308/J308)</f>
        <v>5.5214723926380369E-2</v>
      </c>
      <c r="N308" s="18">
        <v>89</v>
      </c>
      <c r="O308" s="18" t="str">
        <f t="shared" ca="1" si="17"/>
        <v>Optimal</v>
      </c>
      <c r="P308" s="11" t="str">
        <f ca="1">RANDBETWEEN(30,76)&amp;"%"</f>
        <v>33%</v>
      </c>
      <c r="Q308" s="18">
        <f>PRODUCT(K308,N308)</f>
        <v>61232</v>
      </c>
    </row>
    <row r="309" spans="1:17" hidden="1" x14ac:dyDescent="0.45">
      <c r="A309" s="6" t="s">
        <v>975</v>
      </c>
      <c r="B309" s="9" t="s">
        <v>974</v>
      </c>
      <c r="C309" s="6" t="s">
        <v>212</v>
      </c>
      <c r="D309" s="18">
        <f ca="1">RANDBETWEEN(8,15)</f>
        <v>15</v>
      </c>
      <c r="E309" s="19">
        <v>45527</v>
      </c>
      <c r="F309" s="18">
        <v>50</v>
      </c>
      <c r="G309" s="20">
        <v>0.47</v>
      </c>
      <c r="H309" s="18">
        <v>99</v>
      </c>
      <c r="I309" s="18">
        <v>73</v>
      </c>
      <c r="J309" s="15">
        <f ca="1">K309-L309</f>
        <v>29.799999999999997</v>
      </c>
      <c r="K309" s="15">
        <v>68.8</v>
      </c>
      <c r="L309" s="15">
        <f ca="1">RANDBETWEEN(30,87)</f>
        <v>39</v>
      </c>
      <c r="M309" s="11">
        <f ca="1">(L309/J309)</f>
        <v>1.3087248322147653</v>
      </c>
      <c r="N309" s="18">
        <v>42</v>
      </c>
      <c r="O309" s="18" t="s">
        <v>18</v>
      </c>
      <c r="P309" s="11" t="str">
        <f ca="1">RANDBETWEEN(30,76)&amp;"%"</f>
        <v>54%</v>
      </c>
      <c r="Q309" s="18">
        <f>PRODUCT(K309,N309)</f>
        <v>2889.6</v>
      </c>
    </row>
    <row r="310" spans="1:17" x14ac:dyDescent="0.45">
      <c r="A310" s="6" t="s">
        <v>1046</v>
      </c>
      <c r="B310" s="9" t="s">
        <v>1044</v>
      </c>
      <c r="C310" s="6" t="s">
        <v>212</v>
      </c>
      <c r="D310" s="18">
        <f ca="1">RANDBETWEEN(500,1000)</f>
        <v>603</v>
      </c>
      <c r="E310" s="19">
        <v>45381</v>
      </c>
      <c r="F310" s="18">
        <v>29</v>
      </c>
      <c r="G310" s="20">
        <v>0.56000000000000005</v>
      </c>
      <c r="H310" s="18">
        <f t="shared" ref="H310:H335" ca="1" si="18">RANDBETWEEN(50,80)</f>
        <v>68</v>
      </c>
      <c r="I310" s="18">
        <f t="shared" ref="I310:I335" ca="1" si="19">RANDBETWEEN(70,200)</f>
        <v>190</v>
      </c>
      <c r="J310" s="15">
        <f ca="1">K310-L310</f>
        <v>526</v>
      </c>
      <c r="K310" s="15">
        <v>559</v>
      </c>
      <c r="L310" s="15">
        <f ca="1">RANDBETWEEN(30,87)</f>
        <v>33</v>
      </c>
      <c r="M310" s="11">
        <f ca="1">(L310/J310)</f>
        <v>6.2737642585551326E-2</v>
      </c>
      <c r="N310" s="18">
        <v>60</v>
      </c>
      <c r="O310" s="18" t="str">
        <f t="shared" ref="O310:O335" ca="1" si="20">IF(F310&lt;H310,"Understocked","Optimal")</f>
        <v>Understocked</v>
      </c>
      <c r="P310" s="11" t="str">
        <f ca="1">RANDBETWEEN(30,76)&amp;"%"</f>
        <v>74%</v>
      </c>
      <c r="Q310" s="18">
        <f>PRODUCT(K310,N310)</f>
        <v>33540</v>
      </c>
    </row>
    <row r="311" spans="1:17" x14ac:dyDescent="0.45">
      <c r="A311" s="6" t="s">
        <v>1047</v>
      </c>
      <c r="B311" s="9" t="s">
        <v>1044</v>
      </c>
      <c r="C311" s="6" t="s">
        <v>212</v>
      </c>
      <c r="D311" s="18">
        <f ca="1">RANDBETWEEN(500,1000)</f>
        <v>536</v>
      </c>
      <c r="E311" s="19">
        <v>45607</v>
      </c>
      <c r="F311" s="18">
        <v>14</v>
      </c>
      <c r="G311" s="20">
        <v>0.87</v>
      </c>
      <c r="H311" s="18">
        <f t="shared" ca="1" si="18"/>
        <v>59</v>
      </c>
      <c r="I311" s="18">
        <f t="shared" ca="1" si="19"/>
        <v>153</v>
      </c>
      <c r="J311" s="15">
        <f ca="1">K311-L311</f>
        <v>555</v>
      </c>
      <c r="K311" s="15">
        <v>602</v>
      </c>
      <c r="L311" s="15">
        <f ca="1">RANDBETWEEN(30,87)</f>
        <v>47</v>
      </c>
      <c r="M311" s="11">
        <f ca="1">(L311/J311)</f>
        <v>8.468468468468468E-2</v>
      </c>
      <c r="N311" s="18">
        <v>90</v>
      </c>
      <c r="O311" s="18" t="str">
        <f t="shared" ca="1" si="20"/>
        <v>Understocked</v>
      </c>
      <c r="P311" s="11" t="str">
        <f ca="1">RANDBETWEEN(30,76)&amp;"%"</f>
        <v>43%</v>
      </c>
      <c r="Q311" s="18">
        <f>PRODUCT(K311,N311)</f>
        <v>54180</v>
      </c>
    </row>
    <row r="312" spans="1:17" x14ac:dyDescent="0.45">
      <c r="A312" s="6" t="s">
        <v>1048</v>
      </c>
      <c r="B312" s="9" t="s">
        <v>1044</v>
      </c>
      <c r="C312" s="6" t="s">
        <v>212</v>
      </c>
      <c r="D312" s="18">
        <f ca="1">RANDBETWEEN(500,1000)</f>
        <v>693</v>
      </c>
      <c r="E312" s="19">
        <v>45486</v>
      </c>
      <c r="F312" s="18">
        <v>92</v>
      </c>
      <c r="G312" s="20">
        <v>0.73</v>
      </c>
      <c r="H312" s="18">
        <f t="shared" ca="1" si="18"/>
        <v>68</v>
      </c>
      <c r="I312" s="18">
        <f t="shared" ca="1" si="19"/>
        <v>195</v>
      </c>
      <c r="J312" s="15">
        <f ca="1">K312-L312</f>
        <v>741</v>
      </c>
      <c r="K312" s="15">
        <v>774</v>
      </c>
      <c r="L312" s="15">
        <f ca="1">RANDBETWEEN(30,87)</f>
        <v>33</v>
      </c>
      <c r="M312" s="11">
        <f ca="1">(L312/J312)</f>
        <v>4.4534412955465584E-2</v>
      </c>
      <c r="N312" s="18">
        <v>43</v>
      </c>
      <c r="O312" s="18" t="str">
        <f t="shared" ca="1" si="20"/>
        <v>Optimal</v>
      </c>
      <c r="P312" s="11" t="str">
        <f ca="1">RANDBETWEEN(30,76)&amp;"%"</f>
        <v>48%</v>
      </c>
      <c r="Q312" s="18">
        <f>PRODUCT(K312,N312)</f>
        <v>33282</v>
      </c>
    </row>
    <row r="313" spans="1:17" x14ac:dyDescent="0.45">
      <c r="A313" s="6" t="s">
        <v>1049</v>
      </c>
      <c r="B313" s="9" t="s">
        <v>1044</v>
      </c>
      <c r="C313" s="6" t="s">
        <v>212</v>
      </c>
      <c r="D313" s="18">
        <f ca="1">RANDBETWEEN(500,1000)</f>
        <v>576</v>
      </c>
      <c r="E313" s="19">
        <v>45353</v>
      </c>
      <c r="F313" s="18">
        <v>55</v>
      </c>
      <c r="G313" s="20">
        <v>0.78</v>
      </c>
      <c r="H313" s="18">
        <f t="shared" ca="1" si="18"/>
        <v>54</v>
      </c>
      <c r="I313" s="18">
        <f t="shared" ca="1" si="19"/>
        <v>149</v>
      </c>
      <c r="J313" s="15">
        <f ca="1">K313-L313</f>
        <v>970</v>
      </c>
      <c r="K313" s="15">
        <v>1032</v>
      </c>
      <c r="L313" s="15">
        <f ca="1">RANDBETWEEN(30,87)</f>
        <v>62</v>
      </c>
      <c r="M313" s="11">
        <f ca="1">(L313/J313)</f>
        <v>6.3917525773195871E-2</v>
      </c>
      <c r="N313" s="18">
        <v>69</v>
      </c>
      <c r="O313" s="18" t="str">
        <f t="shared" ca="1" si="20"/>
        <v>Optimal</v>
      </c>
      <c r="P313" s="11" t="str">
        <f ca="1">RANDBETWEEN(30,76)&amp;"%"</f>
        <v>68%</v>
      </c>
      <c r="Q313" s="18">
        <f>PRODUCT(K313,N313)</f>
        <v>71208</v>
      </c>
    </row>
    <row r="314" spans="1:17" x14ac:dyDescent="0.45">
      <c r="A314" s="6" t="s">
        <v>1111</v>
      </c>
      <c r="B314" s="9" t="s">
        <v>1112</v>
      </c>
      <c r="C314" s="6" t="s">
        <v>212</v>
      </c>
      <c r="D314" s="18">
        <f ca="1">RANDBETWEEN(500,1000)</f>
        <v>818</v>
      </c>
      <c r="E314" s="19">
        <v>45605</v>
      </c>
      <c r="F314" s="18">
        <v>55</v>
      </c>
      <c r="G314" s="20">
        <v>0.41</v>
      </c>
      <c r="H314" s="18">
        <f t="shared" ca="1" si="18"/>
        <v>64</v>
      </c>
      <c r="I314" s="18">
        <f t="shared" ca="1" si="19"/>
        <v>84</v>
      </c>
      <c r="J314" s="15">
        <f ca="1">K314-L314</f>
        <v>526</v>
      </c>
      <c r="K314" s="15">
        <v>602</v>
      </c>
      <c r="L314" s="15">
        <f ca="1">RANDBETWEEN(30,87)</f>
        <v>76</v>
      </c>
      <c r="M314" s="11">
        <f ca="1">(L314/J314)</f>
        <v>0.14448669201520911</v>
      </c>
      <c r="N314" s="18">
        <v>62</v>
      </c>
      <c r="O314" s="18" t="str">
        <f t="shared" ca="1" si="20"/>
        <v>Understocked</v>
      </c>
      <c r="P314" s="11" t="str">
        <f ca="1">RANDBETWEEN(30,76)&amp;"%"</f>
        <v>56%</v>
      </c>
      <c r="Q314" s="18">
        <f>PRODUCT(K314,N314)</f>
        <v>37324</v>
      </c>
    </row>
    <row r="315" spans="1:17" x14ac:dyDescent="0.45">
      <c r="A315" s="6" t="s">
        <v>1113</v>
      </c>
      <c r="B315" s="9" t="s">
        <v>1112</v>
      </c>
      <c r="C315" s="6" t="s">
        <v>212</v>
      </c>
      <c r="D315" s="18">
        <f ca="1">RANDBETWEEN(500,1000)</f>
        <v>713</v>
      </c>
      <c r="E315" s="19">
        <v>45368</v>
      </c>
      <c r="F315" s="18">
        <v>85</v>
      </c>
      <c r="G315" s="20">
        <v>0.43</v>
      </c>
      <c r="H315" s="18">
        <f t="shared" ca="1" si="18"/>
        <v>54</v>
      </c>
      <c r="I315" s="18">
        <f t="shared" ca="1" si="19"/>
        <v>155</v>
      </c>
      <c r="J315" s="15">
        <f ca="1">K315-L315</f>
        <v>185</v>
      </c>
      <c r="K315" s="15">
        <v>215</v>
      </c>
      <c r="L315" s="15">
        <f ca="1">RANDBETWEEN(30,87)</f>
        <v>30</v>
      </c>
      <c r="M315" s="11">
        <f ca="1">(L315/J315)</f>
        <v>0.16216216216216217</v>
      </c>
      <c r="N315" s="18">
        <v>49</v>
      </c>
      <c r="O315" s="18" t="str">
        <f t="shared" ca="1" si="20"/>
        <v>Optimal</v>
      </c>
      <c r="P315" s="11" t="str">
        <f ca="1">RANDBETWEEN(30,76)&amp;"%"</f>
        <v>65%</v>
      </c>
      <c r="Q315" s="18">
        <f>PRODUCT(K315,N315)</f>
        <v>10535</v>
      </c>
    </row>
    <row r="316" spans="1:17" x14ac:dyDescent="0.45">
      <c r="A316" s="6" t="s">
        <v>1114</v>
      </c>
      <c r="B316" s="9" t="s">
        <v>1112</v>
      </c>
      <c r="C316" s="6" t="s">
        <v>212</v>
      </c>
      <c r="D316" s="18">
        <f ca="1">RANDBETWEEN(500,1000)</f>
        <v>724</v>
      </c>
      <c r="E316" s="19">
        <v>45480</v>
      </c>
      <c r="F316" s="18">
        <v>86</v>
      </c>
      <c r="G316" s="20">
        <v>0.9</v>
      </c>
      <c r="H316" s="18">
        <f t="shared" ca="1" si="18"/>
        <v>71</v>
      </c>
      <c r="I316" s="18">
        <f t="shared" ca="1" si="19"/>
        <v>132</v>
      </c>
      <c r="J316" s="15">
        <f ca="1">K316-L316</f>
        <v>66</v>
      </c>
      <c r="K316" s="15">
        <v>129</v>
      </c>
      <c r="L316" s="15">
        <f ca="1">RANDBETWEEN(30,87)</f>
        <v>63</v>
      </c>
      <c r="M316" s="11">
        <f ca="1">(L316/J316)</f>
        <v>0.95454545454545459</v>
      </c>
      <c r="N316" s="18">
        <v>83</v>
      </c>
      <c r="O316" s="18" t="str">
        <f t="shared" ca="1" si="20"/>
        <v>Optimal</v>
      </c>
      <c r="P316" s="11" t="str">
        <f ca="1">RANDBETWEEN(30,76)&amp;"%"</f>
        <v>46%</v>
      </c>
      <c r="Q316" s="18">
        <f>PRODUCT(K316,N316)</f>
        <v>10707</v>
      </c>
    </row>
    <row r="317" spans="1:17" x14ac:dyDescent="0.45">
      <c r="A317" s="6" t="s">
        <v>1115</v>
      </c>
      <c r="B317" s="9" t="s">
        <v>1112</v>
      </c>
      <c r="C317" s="6" t="s">
        <v>212</v>
      </c>
      <c r="D317" s="18">
        <f ca="1">RANDBETWEEN(500,1000)</f>
        <v>708</v>
      </c>
      <c r="E317" s="19">
        <v>45545</v>
      </c>
      <c r="F317" s="18">
        <v>92</v>
      </c>
      <c r="G317" s="20">
        <v>0.75</v>
      </c>
      <c r="H317" s="18">
        <f t="shared" ca="1" si="18"/>
        <v>68</v>
      </c>
      <c r="I317" s="18">
        <f t="shared" ca="1" si="19"/>
        <v>115</v>
      </c>
      <c r="J317" s="15">
        <f ca="1">K317-L317</f>
        <v>59</v>
      </c>
      <c r="K317" s="15">
        <v>129</v>
      </c>
      <c r="L317" s="15">
        <f ca="1">RANDBETWEEN(30,87)</f>
        <v>70</v>
      </c>
      <c r="M317" s="11">
        <f ca="1">(L317/J317)</f>
        <v>1.1864406779661016</v>
      </c>
      <c r="N317" s="18">
        <v>50</v>
      </c>
      <c r="O317" s="18" t="str">
        <f t="shared" ca="1" si="20"/>
        <v>Optimal</v>
      </c>
      <c r="P317" s="11" t="str">
        <f ca="1">RANDBETWEEN(30,76)&amp;"%"</f>
        <v>55%</v>
      </c>
      <c r="Q317" s="18">
        <f>PRODUCT(K317,N317)</f>
        <v>6450</v>
      </c>
    </row>
    <row r="318" spans="1:17" x14ac:dyDescent="0.45">
      <c r="A318" s="6" t="s">
        <v>1116</v>
      </c>
      <c r="B318" s="9" t="s">
        <v>1112</v>
      </c>
      <c r="C318" s="6" t="s">
        <v>212</v>
      </c>
      <c r="D318" s="18">
        <f ca="1">RANDBETWEEN(500,1000)</f>
        <v>669</v>
      </c>
      <c r="E318" s="19">
        <v>45471</v>
      </c>
      <c r="F318" s="18">
        <v>12</v>
      </c>
      <c r="G318" s="20">
        <v>0.33</v>
      </c>
      <c r="H318" s="18">
        <f t="shared" ca="1" si="18"/>
        <v>59</v>
      </c>
      <c r="I318" s="18">
        <f t="shared" ca="1" si="19"/>
        <v>82</v>
      </c>
      <c r="J318" s="15">
        <f ca="1">K318-L318</f>
        <v>827</v>
      </c>
      <c r="K318" s="15">
        <v>860</v>
      </c>
      <c r="L318" s="15">
        <f ca="1">RANDBETWEEN(30,87)</f>
        <v>33</v>
      </c>
      <c r="M318" s="11">
        <f ca="1">(L318/J318)</f>
        <v>3.9903264812575577E-2</v>
      </c>
      <c r="N318" s="18">
        <v>22</v>
      </c>
      <c r="O318" s="18" t="str">
        <f t="shared" ca="1" si="20"/>
        <v>Understocked</v>
      </c>
      <c r="P318" s="11" t="str">
        <f ca="1">RANDBETWEEN(30,76)&amp;"%"</f>
        <v>59%</v>
      </c>
      <c r="Q318" s="18">
        <f>PRODUCT(K318,N318)</f>
        <v>18920</v>
      </c>
    </row>
    <row r="319" spans="1:17" x14ac:dyDescent="0.45">
      <c r="A319" s="6" t="s">
        <v>1117</v>
      </c>
      <c r="B319" s="9" t="s">
        <v>1112</v>
      </c>
      <c r="C319" s="6" t="s">
        <v>212</v>
      </c>
      <c r="D319" s="18">
        <f ca="1">RANDBETWEEN(500,1000)</f>
        <v>617</v>
      </c>
      <c r="E319" s="19">
        <v>45435</v>
      </c>
      <c r="F319" s="18">
        <v>76</v>
      </c>
      <c r="G319" s="20">
        <v>0.52</v>
      </c>
      <c r="H319" s="18">
        <f t="shared" ca="1" si="18"/>
        <v>58</v>
      </c>
      <c r="I319" s="18">
        <f t="shared" ca="1" si="19"/>
        <v>70</v>
      </c>
      <c r="J319" s="15">
        <f ca="1">K319-L319</f>
        <v>258</v>
      </c>
      <c r="K319" s="15">
        <v>344</v>
      </c>
      <c r="L319" s="15">
        <f ca="1">RANDBETWEEN(30,87)</f>
        <v>86</v>
      </c>
      <c r="M319" s="11">
        <f ca="1">(L319/J319)</f>
        <v>0.33333333333333331</v>
      </c>
      <c r="N319" s="18">
        <v>62</v>
      </c>
      <c r="O319" s="18" t="str">
        <f t="shared" ca="1" si="20"/>
        <v>Optimal</v>
      </c>
      <c r="P319" s="11" t="str">
        <f ca="1">RANDBETWEEN(30,76)&amp;"%"</f>
        <v>64%</v>
      </c>
      <c r="Q319" s="18">
        <f>PRODUCT(K319,N319)</f>
        <v>21328</v>
      </c>
    </row>
    <row r="320" spans="1:17" x14ac:dyDescent="0.45">
      <c r="A320" s="6" t="s">
        <v>1118</v>
      </c>
      <c r="B320" s="9" t="s">
        <v>1112</v>
      </c>
      <c r="C320" s="6" t="s">
        <v>212</v>
      </c>
      <c r="D320" s="18">
        <f ca="1">RANDBETWEEN(500,1000)</f>
        <v>687</v>
      </c>
      <c r="E320" s="19">
        <v>45470</v>
      </c>
      <c r="F320" s="18">
        <v>59</v>
      </c>
      <c r="G320" s="20">
        <v>0.68</v>
      </c>
      <c r="H320" s="18">
        <f t="shared" ca="1" si="18"/>
        <v>54</v>
      </c>
      <c r="I320" s="18">
        <f t="shared" ca="1" si="19"/>
        <v>78</v>
      </c>
      <c r="J320" s="15">
        <f ca="1">K320-L320</f>
        <v>98.199999999999989</v>
      </c>
      <c r="K320" s="15">
        <v>146.19999999999999</v>
      </c>
      <c r="L320" s="15">
        <f ca="1">RANDBETWEEN(30,87)</f>
        <v>48</v>
      </c>
      <c r="M320" s="11">
        <f ca="1">(L320/J320)</f>
        <v>0.4887983706720978</v>
      </c>
      <c r="N320" s="18">
        <v>92</v>
      </c>
      <c r="O320" s="18" t="str">
        <f t="shared" ca="1" si="20"/>
        <v>Optimal</v>
      </c>
      <c r="P320" s="11" t="str">
        <f ca="1">RANDBETWEEN(30,76)&amp;"%"</f>
        <v>57%</v>
      </c>
      <c r="Q320" s="18">
        <f>PRODUCT(K320,N320)</f>
        <v>13450.4</v>
      </c>
    </row>
    <row r="321" spans="1:17" x14ac:dyDescent="0.45">
      <c r="A321" s="6" t="s">
        <v>1119</v>
      </c>
      <c r="B321" s="9" t="s">
        <v>1112</v>
      </c>
      <c r="C321" s="6" t="s">
        <v>212</v>
      </c>
      <c r="D321" s="18">
        <f ca="1">RANDBETWEEN(500,1000)</f>
        <v>562</v>
      </c>
      <c r="E321" s="19">
        <v>45415</v>
      </c>
      <c r="F321" s="18">
        <v>80</v>
      </c>
      <c r="G321" s="20">
        <v>0.62</v>
      </c>
      <c r="H321" s="18">
        <f t="shared" ca="1" si="18"/>
        <v>74</v>
      </c>
      <c r="I321" s="18">
        <f t="shared" ca="1" si="19"/>
        <v>104</v>
      </c>
      <c r="J321" s="15">
        <f ca="1">K321-L321</f>
        <v>313</v>
      </c>
      <c r="K321" s="15">
        <v>344</v>
      </c>
      <c r="L321" s="15">
        <f ca="1">RANDBETWEEN(30,87)</f>
        <v>31</v>
      </c>
      <c r="M321" s="11">
        <f ca="1">(L321/J321)</f>
        <v>9.9041533546325874E-2</v>
      </c>
      <c r="N321" s="18">
        <v>41</v>
      </c>
      <c r="O321" s="18" t="str">
        <f t="shared" ca="1" si="20"/>
        <v>Optimal</v>
      </c>
      <c r="P321" s="11" t="str">
        <f ca="1">RANDBETWEEN(30,76)&amp;"%"</f>
        <v>63%</v>
      </c>
      <c r="Q321" s="18">
        <f>PRODUCT(K321,N321)</f>
        <v>14104</v>
      </c>
    </row>
    <row r="322" spans="1:17" x14ac:dyDescent="0.45">
      <c r="A322" s="6" t="s">
        <v>1120</v>
      </c>
      <c r="B322" s="9" t="s">
        <v>1112</v>
      </c>
      <c r="C322" s="6" t="s">
        <v>212</v>
      </c>
      <c r="D322" s="18">
        <f ca="1">RANDBETWEEN(500,1000)</f>
        <v>781</v>
      </c>
      <c r="E322" s="19">
        <v>45474</v>
      </c>
      <c r="F322" s="18">
        <v>63</v>
      </c>
      <c r="G322" s="20">
        <v>0.56999999999999995</v>
      </c>
      <c r="H322" s="18">
        <f t="shared" ca="1" si="18"/>
        <v>71</v>
      </c>
      <c r="I322" s="18">
        <f t="shared" ca="1" si="19"/>
        <v>150</v>
      </c>
      <c r="J322" s="15">
        <f ca="1">K322-L322</f>
        <v>395</v>
      </c>
      <c r="K322" s="15">
        <v>456</v>
      </c>
      <c r="L322" s="15">
        <f ca="1">RANDBETWEEN(30,87)</f>
        <v>61</v>
      </c>
      <c r="M322" s="11">
        <f ca="1">(L322/J322)</f>
        <v>0.15443037974683543</v>
      </c>
      <c r="N322" s="18">
        <v>56</v>
      </c>
      <c r="O322" s="18" t="str">
        <f t="shared" ca="1" si="20"/>
        <v>Understocked</v>
      </c>
      <c r="P322" s="11" t="str">
        <f ca="1">RANDBETWEEN(30,76)&amp;"%"</f>
        <v>70%</v>
      </c>
      <c r="Q322" s="18">
        <f>PRODUCT(K322,N322)</f>
        <v>25536</v>
      </c>
    </row>
    <row r="323" spans="1:17" x14ac:dyDescent="0.45">
      <c r="A323" t="s">
        <v>393</v>
      </c>
      <c r="B323" t="s">
        <v>391</v>
      </c>
      <c r="C323" t="s">
        <v>212</v>
      </c>
      <c r="D323" s="18">
        <f ca="1">RANDBETWEEN(500,1000)</f>
        <v>760</v>
      </c>
      <c r="E323" s="1">
        <v>45610</v>
      </c>
      <c r="F323">
        <v>43</v>
      </c>
      <c r="G323" s="2">
        <v>0.64</v>
      </c>
      <c r="H323" s="18">
        <f t="shared" ca="1" si="18"/>
        <v>59</v>
      </c>
      <c r="I323" s="18">
        <f t="shared" ca="1" si="19"/>
        <v>73</v>
      </c>
      <c r="J323" s="4">
        <f ca="1">K323-L323</f>
        <v>1481</v>
      </c>
      <c r="K323" s="4">
        <v>1548</v>
      </c>
      <c r="L323" s="4">
        <f ca="1">RANDBETWEEN(30,87)</f>
        <v>67</v>
      </c>
      <c r="M323" s="3">
        <f ca="1">(L323/J323)</f>
        <v>4.5239702903443618E-2</v>
      </c>
      <c r="N323">
        <v>27</v>
      </c>
      <c r="O323" s="18" t="str">
        <f t="shared" ca="1" si="20"/>
        <v>Understocked</v>
      </c>
      <c r="P323">
        <v>90</v>
      </c>
    </row>
    <row r="324" spans="1:17" x14ac:dyDescent="0.45">
      <c r="A324" t="s">
        <v>424</v>
      </c>
      <c r="B324" t="s">
        <v>422</v>
      </c>
      <c r="C324" t="s">
        <v>212</v>
      </c>
      <c r="D324" s="18">
        <f ca="1">RANDBETWEEN(500,1000)</f>
        <v>895</v>
      </c>
      <c r="E324" s="1">
        <v>45618</v>
      </c>
      <c r="F324">
        <v>63</v>
      </c>
      <c r="G324" s="2">
        <v>0.35</v>
      </c>
      <c r="H324" s="18">
        <f t="shared" ca="1" si="18"/>
        <v>52</v>
      </c>
      <c r="I324" s="18">
        <f t="shared" ca="1" si="19"/>
        <v>80</v>
      </c>
      <c r="J324" s="4">
        <f ca="1">K324-L324</f>
        <v>2085</v>
      </c>
      <c r="K324" s="4">
        <v>2150</v>
      </c>
      <c r="L324" s="4">
        <f ca="1">RANDBETWEEN(30,87)</f>
        <v>65</v>
      </c>
      <c r="M324" s="3">
        <f ca="1">(L324/J324)</f>
        <v>3.117505995203837E-2</v>
      </c>
      <c r="N324">
        <v>78</v>
      </c>
      <c r="O324" s="18" t="str">
        <f t="shared" ca="1" si="20"/>
        <v>Optimal</v>
      </c>
      <c r="P324">
        <v>16</v>
      </c>
    </row>
    <row r="325" spans="1:17" x14ac:dyDescent="0.45">
      <c r="A325" t="s">
        <v>430</v>
      </c>
      <c r="B325" t="s">
        <v>422</v>
      </c>
      <c r="C325" t="s">
        <v>212</v>
      </c>
      <c r="D325" s="18">
        <f ca="1">RANDBETWEEN(500,1000)</f>
        <v>838</v>
      </c>
      <c r="E325" s="1">
        <v>45361</v>
      </c>
      <c r="F325">
        <v>23</v>
      </c>
      <c r="G325" s="2">
        <v>0.63</v>
      </c>
      <c r="H325" s="18">
        <f t="shared" ca="1" si="18"/>
        <v>74</v>
      </c>
      <c r="I325" s="18">
        <f t="shared" ca="1" si="19"/>
        <v>107</v>
      </c>
      <c r="J325" s="4">
        <f ca="1">K325-L325</f>
        <v>4355.62</v>
      </c>
      <c r="K325" s="4">
        <v>4400.62</v>
      </c>
      <c r="L325" s="4">
        <f ca="1">RANDBETWEEN(30,87)</f>
        <v>45</v>
      </c>
      <c r="M325" s="3">
        <f ca="1">(L325/J325)</f>
        <v>1.0331479789329648E-2</v>
      </c>
      <c r="N325">
        <v>81</v>
      </c>
      <c r="O325" s="18" t="str">
        <f t="shared" ca="1" si="20"/>
        <v>Understocked</v>
      </c>
      <c r="P325">
        <v>26</v>
      </c>
    </row>
    <row r="326" spans="1:17" x14ac:dyDescent="0.45">
      <c r="A326" t="s">
        <v>556</v>
      </c>
      <c r="B326" t="s">
        <v>549</v>
      </c>
      <c r="C326" t="s">
        <v>212</v>
      </c>
      <c r="D326" s="18">
        <f ca="1">RANDBETWEEN(500,1000)</f>
        <v>615</v>
      </c>
      <c r="E326" s="1">
        <v>45706</v>
      </c>
      <c r="F326">
        <v>63</v>
      </c>
      <c r="G326" s="2">
        <v>0.85</v>
      </c>
      <c r="H326" s="18">
        <f t="shared" ca="1" si="18"/>
        <v>60</v>
      </c>
      <c r="I326" s="18">
        <f t="shared" ca="1" si="19"/>
        <v>76</v>
      </c>
      <c r="J326" s="4">
        <f ca="1">K326-L326</f>
        <v>2084</v>
      </c>
      <c r="K326" s="4">
        <v>2150</v>
      </c>
      <c r="L326" s="4">
        <f ca="1">RANDBETWEEN(30,87)</f>
        <v>66</v>
      </c>
      <c r="M326" s="3">
        <f ca="1">(L326/J326)</f>
        <v>3.166986564299424E-2</v>
      </c>
      <c r="N326">
        <v>21</v>
      </c>
      <c r="O326" s="18" t="str">
        <f t="shared" ca="1" si="20"/>
        <v>Optimal</v>
      </c>
      <c r="P326">
        <v>88</v>
      </c>
    </row>
    <row r="327" spans="1:17" x14ac:dyDescent="0.45">
      <c r="A327" t="s">
        <v>983</v>
      </c>
      <c r="B327" t="s">
        <v>974</v>
      </c>
      <c r="C327" t="s">
        <v>212</v>
      </c>
      <c r="D327" s="18">
        <f ca="1">RANDBETWEEN(500,1000)</f>
        <v>681</v>
      </c>
      <c r="E327" s="1">
        <v>45616</v>
      </c>
      <c r="F327">
        <v>80</v>
      </c>
      <c r="G327" s="2">
        <v>0.69</v>
      </c>
      <c r="H327" s="18">
        <f t="shared" ca="1" si="18"/>
        <v>76</v>
      </c>
      <c r="I327" s="18">
        <f t="shared" ca="1" si="19"/>
        <v>145</v>
      </c>
      <c r="J327" s="4">
        <f ca="1">K327-L327</f>
        <v>2503</v>
      </c>
      <c r="K327" s="4">
        <v>2580</v>
      </c>
      <c r="L327" s="4">
        <f ca="1">RANDBETWEEN(30,87)</f>
        <v>77</v>
      </c>
      <c r="M327" s="3">
        <f ca="1">(L327/J327)</f>
        <v>3.0763084298841389E-2</v>
      </c>
      <c r="N327">
        <v>54</v>
      </c>
      <c r="O327" s="18" t="str">
        <f t="shared" ca="1" si="20"/>
        <v>Optimal</v>
      </c>
      <c r="P327">
        <v>59</v>
      </c>
    </row>
    <row r="328" spans="1:17" x14ac:dyDescent="0.45">
      <c r="A328" t="s">
        <v>48</v>
      </c>
      <c r="B328" t="s">
        <v>44</v>
      </c>
      <c r="C328" t="s">
        <v>45</v>
      </c>
      <c r="D328" s="18">
        <f ca="1">RANDBETWEEN(500,1000)</f>
        <v>867</v>
      </c>
      <c r="E328" s="1">
        <v>45613</v>
      </c>
      <c r="F328">
        <v>71</v>
      </c>
      <c r="G328" s="2">
        <v>0.77</v>
      </c>
      <c r="H328" s="18">
        <f t="shared" ca="1" si="18"/>
        <v>74</v>
      </c>
      <c r="I328" s="18">
        <f t="shared" ca="1" si="19"/>
        <v>131</v>
      </c>
      <c r="J328" s="4">
        <f ca="1">K328-L328</f>
        <v>1675</v>
      </c>
      <c r="K328" s="4">
        <v>1720</v>
      </c>
      <c r="L328" s="4">
        <f ca="1">RANDBETWEEN(30,87)</f>
        <v>45</v>
      </c>
      <c r="M328" s="3">
        <f ca="1">(L328/J328)</f>
        <v>2.6865671641791045E-2</v>
      </c>
      <c r="N328">
        <v>87</v>
      </c>
      <c r="O328" s="18" t="str">
        <f t="shared" ca="1" si="20"/>
        <v>Understocked</v>
      </c>
      <c r="P328">
        <v>10</v>
      </c>
    </row>
    <row r="329" spans="1:17" x14ac:dyDescent="0.45">
      <c r="A329" t="s">
        <v>120</v>
      </c>
      <c r="B329" t="s">
        <v>116</v>
      </c>
      <c r="C329" t="s">
        <v>45</v>
      </c>
      <c r="D329" s="18">
        <f ca="1">RANDBETWEEN(500,1000)</f>
        <v>730</v>
      </c>
      <c r="E329" s="1">
        <v>45551</v>
      </c>
      <c r="F329">
        <v>26</v>
      </c>
      <c r="G329" s="2">
        <v>0.4</v>
      </c>
      <c r="H329" s="18">
        <f t="shared" ca="1" si="18"/>
        <v>79</v>
      </c>
      <c r="I329" s="18">
        <f t="shared" ca="1" si="19"/>
        <v>184</v>
      </c>
      <c r="J329" s="4">
        <f ca="1">K329-L329</f>
        <v>633</v>
      </c>
      <c r="K329" s="4">
        <v>675</v>
      </c>
      <c r="L329" s="4">
        <f ca="1">RANDBETWEEN(30,87)</f>
        <v>42</v>
      </c>
      <c r="M329" s="3">
        <f ca="1">(L329/J329)</f>
        <v>6.6350710900473939E-2</v>
      </c>
      <c r="N329">
        <v>73</v>
      </c>
      <c r="O329" s="18" t="str">
        <f t="shared" ca="1" si="20"/>
        <v>Understocked</v>
      </c>
      <c r="P329">
        <v>6</v>
      </c>
    </row>
    <row r="330" spans="1:17" x14ac:dyDescent="0.45">
      <c r="A330" t="s">
        <v>123</v>
      </c>
      <c r="B330" t="s">
        <v>116</v>
      </c>
      <c r="C330" t="s">
        <v>45</v>
      </c>
      <c r="D330" s="18">
        <f ca="1">RANDBETWEEN(500,1000)</f>
        <v>964</v>
      </c>
      <c r="E330" s="1">
        <v>45452</v>
      </c>
      <c r="F330">
        <v>75</v>
      </c>
      <c r="G330" s="2">
        <v>0.87</v>
      </c>
      <c r="H330" s="18">
        <f t="shared" ca="1" si="18"/>
        <v>75</v>
      </c>
      <c r="I330" s="18">
        <f t="shared" ca="1" si="19"/>
        <v>183</v>
      </c>
      <c r="J330" s="4">
        <f ca="1">K330-L330</f>
        <v>774</v>
      </c>
      <c r="K330" s="4">
        <v>817</v>
      </c>
      <c r="L330" s="4">
        <f ca="1">RANDBETWEEN(30,87)</f>
        <v>43</v>
      </c>
      <c r="M330" s="3">
        <f ca="1">(L330/J330)</f>
        <v>5.5555555555555552E-2</v>
      </c>
      <c r="N330">
        <v>26</v>
      </c>
      <c r="O330" s="18" t="str">
        <f t="shared" ca="1" si="20"/>
        <v>Optimal</v>
      </c>
      <c r="P330">
        <v>42</v>
      </c>
    </row>
    <row r="331" spans="1:17" x14ac:dyDescent="0.45">
      <c r="A331" t="s">
        <v>164</v>
      </c>
      <c r="B331" t="s">
        <v>161</v>
      </c>
      <c r="C331" t="s">
        <v>45</v>
      </c>
      <c r="D331" s="18">
        <f ca="1">RANDBETWEEN(500,1000)</f>
        <v>603</v>
      </c>
      <c r="E331" s="1">
        <v>45699</v>
      </c>
      <c r="F331">
        <v>89</v>
      </c>
      <c r="G331" s="2">
        <v>0.3</v>
      </c>
      <c r="H331" s="18">
        <f t="shared" ca="1" si="18"/>
        <v>64</v>
      </c>
      <c r="I331" s="18">
        <f t="shared" ca="1" si="19"/>
        <v>118</v>
      </c>
      <c r="J331" s="4">
        <f ca="1">K331-L331</f>
        <v>1492</v>
      </c>
      <c r="K331" s="4">
        <v>1548</v>
      </c>
      <c r="L331" s="4">
        <f ca="1">RANDBETWEEN(30,87)</f>
        <v>56</v>
      </c>
      <c r="M331" s="3">
        <f ca="1">(L331/J331)</f>
        <v>3.7533512064343161E-2</v>
      </c>
      <c r="N331">
        <v>79</v>
      </c>
      <c r="O331" s="18" t="str">
        <f t="shared" ca="1" si="20"/>
        <v>Optimal</v>
      </c>
      <c r="P331">
        <v>69</v>
      </c>
    </row>
    <row r="332" spans="1:17" x14ac:dyDescent="0.45">
      <c r="A332" t="s">
        <v>239</v>
      </c>
      <c r="B332" t="s">
        <v>234</v>
      </c>
      <c r="C332" t="s">
        <v>45</v>
      </c>
      <c r="D332" s="18">
        <f ca="1">RANDBETWEEN(500,1000)</f>
        <v>817</v>
      </c>
      <c r="E332" s="1">
        <v>45479</v>
      </c>
      <c r="F332">
        <v>62</v>
      </c>
      <c r="G332" s="2">
        <v>0.31</v>
      </c>
      <c r="H332" s="18">
        <f t="shared" ca="1" si="18"/>
        <v>75</v>
      </c>
      <c r="I332" s="18">
        <f t="shared" ca="1" si="19"/>
        <v>129</v>
      </c>
      <c r="J332" s="4">
        <f ca="1">K332-L332</f>
        <v>1225</v>
      </c>
      <c r="K332" s="4">
        <v>1290</v>
      </c>
      <c r="L332" s="4">
        <f ca="1">RANDBETWEEN(30,87)</f>
        <v>65</v>
      </c>
      <c r="M332" s="3">
        <f ca="1">(L332/J332)</f>
        <v>5.3061224489795916E-2</v>
      </c>
      <c r="N332">
        <v>34</v>
      </c>
      <c r="O332" s="18" t="str">
        <f t="shared" ca="1" si="20"/>
        <v>Understocked</v>
      </c>
      <c r="P332">
        <v>82</v>
      </c>
    </row>
    <row r="333" spans="1:17" x14ac:dyDescent="0.45">
      <c r="A333" t="s">
        <v>260</v>
      </c>
      <c r="B333" t="s">
        <v>261</v>
      </c>
      <c r="C333" t="s">
        <v>45</v>
      </c>
      <c r="D333" s="18">
        <f ca="1">RANDBETWEEN(500,1000)</f>
        <v>562</v>
      </c>
      <c r="E333" s="1">
        <v>45392</v>
      </c>
      <c r="F333">
        <v>34</v>
      </c>
      <c r="G333" s="2">
        <v>0.64</v>
      </c>
      <c r="H333" s="18">
        <f t="shared" ca="1" si="18"/>
        <v>62</v>
      </c>
      <c r="I333" s="18">
        <f t="shared" ca="1" si="19"/>
        <v>82</v>
      </c>
      <c r="J333" s="4">
        <f ca="1">K333-L333</f>
        <v>2083</v>
      </c>
      <c r="K333" s="4">
        <v>2150</v>
      </c>
      <c r="L333" s="4">
        <f ca="1">RANDBETWEEN(30,87)</f>
        <v>67</v>
      </c>
      <c r="M333" s="3">
        <f ca="1">(L333/J333)</f>
        <v>3.216514642342775E-2</v>
      </c>
      <c r="N333">
        <v>28</v>
      </c>
      <c r="O333" s="18" t="str">
        <f t="shared" ca="1" si="20"/>
        <v>Understocked</v>
      </c>
      <c r="P333">
        <v>84</v>
      </c>
    </row>
    <row r="334" spans="1:17" x14ac:dyDescent="0.45">
      <c r="A334" t="s">
        <v>297</v>
      </c>
      <c r="B334" t="s">
        <v>296</v>
      </c>
      <c r="C334" t="s">
        <v>45</v>
      </c>
      <c r="D334" s="18">
        <f ca="1">RANDBETWEEN(500,1000)</f>
        <v>645</v>
      </c>
      <c r="E334" s="1">
        <v>45484</v>
      </c>
      <c r="F334">
        <v>29</v>
      </c>
      <c r="G334" s="2">
        <v>0.52</v>
      </c>
      <c r="H334" s="18">
        <f t="shared" ca="1" si="18"/>
        <v>57</v>
      </c>
      <c r="I334" s="18">
        <f t="shared" ca="1" si="19"/>
        <v>123</v>
      </c>
      <c r="J334" s="4">
        <f ca="1">K334-L334</f>
        <v>1687</v>
      </c>
      <c r="K334" s="4">
        <v>1720</v>
      </c>
      <c r="L334" s="4">
        <f ca="1">RANDBETWEEN(30,87)</f>
        <v>33</v>
      </c>
      <c r="M334" s="3">
        <f ca="1">(L334/J334)</f>
        <v>1.956135151155898E-2</v>
      </c>
      <c r="N334">
        <v>74</v>
      </c>
      <c r="O334" s="18" t="str">
        <f t="shared" ca="1" si="20"/>
        <v>Understocked</v>
      </c>
      <c r="P334">
        <v>26</v>
      </c>
    </row>
    <row r="335" spans="1:17" x14ac:dyDescent="0.45">
      <c r="A335" t="s">
        <v>298</v>
      </c>
      <c r="B335" t="s">
        <v>296</v>
      </c>
      <c r="C335" t="s">
        <v>45</v>
      </c>
      <c r="D335" s="18">
        <f ca="1">RANDBETWEEN(500,1000)</f>
        <v>970</v>
      </c>
      <c r="E335" s="1">
        <v>45485</v>
      </c>
      <c r="F335">
        <v>30</v>
      </c>
      <c r="G335" s="2">
        <v>0.77</v>
      </c>
      <c r="H335" s="18">
        <f t="shared" ca="1" si="18"/>
        <v>78</v>
      </c>
      <c r="I335" s="18">
        <f t="shared" ca="1" si="19"/>
        <v>135</v>
      </c>
      <c r="J335" s="4">
        <f ca="1">K335-L335</f>
        <v>1638</v>
      </c>
      <c r="K335" s="4">
        <v>1720</v>
      </c>
      <c r="L335" s="4">
        <f ca="1">RANDBETWEEN(30,87)</f>
        <v>82</v>
      </c>
      <c r="M335" s="3">
        <f ca="1">(L335/J335)</f>
        <v>5.0061050061050064E-2</v>
      </c>
      <c r="N335">
        <v>42</v>
      </c>
      <c r="O335" s="18" t="str">
        <f t="shared" ca="1" si="20"/>
        <v>Understocked</v>
      </c>
      <c r="P335">
        <v>18</v>
      </c>
    </row>
    <row r="336" spans="1:17" hidden="1" x14ac:dyDescent="0.45">
      <c r="A336" t="s">
        <v>396</v>
      </c>
      <c r="B336" t="s">
        <v>391</v>
      </c>
      <c r="C336" t="s">
        <v>212</v>
      </c>
      <c r="D336">
        <f ca="1">RANDBETWEEN(8,15)</f>
        <v>12</v>
      </c>
      <c r="E336" s="1">
        <v>45700</v>
      </c>
      <c r="F336">
        <v>63</v>
      </c>
      <c r="G336" s="2">
        <v>0.5</v>
      </c>
      <c r="H336">
        <v>38</v>
      </c>
      <c r="I336">
        <v>77</v>
      </c>
      <c r="J336" s="4">
        <f ca="1">K336-L336</f>
        <v>-12.200000000000003</v>
      </c>
      <c r="K336" s="4">
        <v>68.8</v>
      </c>
      <c r="L336" s="4">
        <f ca="1">RANDBETWEEN(30,87)</f>
        <v>81</v>
      </c>
      <c r="M336" s="3">
        <f ca="1">(L336/J336)</f>
        <v>-6.6393442622950802</v>
      </c>
      <c r="N336">
        <v>23</v>
      </c>
      <c r="O336" t="s">
        <v>15</v>
      </c>
      <c r="P336">
        <v>54</v>
      </c>
    </row>
    <row r="337" spans="1:17" x14ac:dyDescent="0.45">
      <c r="A337" s="6" t="s">
        <v>43</v>
      </c>
      <c r="B337" s="9" t="s">
        <v>44</v>
      </c>
      <c r="C337" s="6" t="s">
        <v>45</v>
      </c>
      <c r="D337" s="18">
        <f ca="1">RANDBETWEEN(500,1000)</f>
        <v>775</v>
      </c>
      <c r="E337" s="19">
        <v>45668</v>
      </c>
      <c r="F337" s="18">
        <v>44</v>
      </c>
      <c r="G337" s="20">
        <v>0.73</v>
      </c>
      <c r="H337" s="18">
        <f t="shared" ref="H337:H364" ca="1" si="21">RANDBETWEEN(50,80)</f>
        <v>71</v>
      </c>
      <c r="I337" s="18">
        <f t="shared" ref="I337:I364" ca="1" si="22">RANDBETWEEN(70,200)</f>
        <v>72</v>
      </c>
      <c r="J337" s="15">
        <f ca="1">K337-L337</f>
        <v>363.5</v>
      </c>
      <c r="K337" s="15">
        <v>408.5</v>
      </c>
      <c r="L337" s="15">
        <f ca="1">RANDBETWEEN(30,87)</f>
        <v>45</v>
      </c>
      <c r="M337" s="11">
        <f ca="1">(L337/J337)</f>
        <v>0.12379642365887207</v>
      </c>
      <c r="N337" s="18">
        <v>41</v>
      </c>
      <c r="O337" s="18" t="str">
        <f t="shared" ref="O337:O364" ca="1" si="23">IF(F337&lt;H337,"Understocked","Optimal")</f>
        <v>Understocked</v>
      </c>
      <c r="P337" s="11" t="str">
        <f ca="1">RANDBETWEEN(30,76)&amp;"%"</f>
        <v>66%</v>
      </c>
      <c r="Q337" s="18">
        <f>PRODUCT(K337,N337)</f>
        <v>16748.5</v>
      </c>
    </row>
    <row r="338" spans="1:17" x14ac:dyDescent="0.45">
      <c r="A338" s="6" t="s">
        <v>46</v>
      </c>
      <c r="B338" s="9" t="s">
        <v>44</v>
      </c>
      <c r="C338" s="6" t="s">
        <v>45</v>
      </c>
      <c r="D338" s="18">
        <f ca="1">RANDBETWEEN(500,1000)</f>
        <v>884</v>
      </c>
      <c r="E338" s="19">
        <v>45639</v>
      </c>
      <c r="F338" s="18">
        <v>43</v>
      </c>
      <c r="G338" s="20">
        <v>0.62</v>
      </c>
      <c r="H338" s="18">
        <f t="shared" ca="1" si="21"/>
        <v>66</v>
      </c>
      <c r="I338" s="18">
        <f t="shared" ca="1" si="22"/>
        <v>159</v>
      </c>
      <c r="J338" s="15">
        <f ca="1">K338-L338</f>
        <v>300</v>
      </c>
      <c r="K338" s="15">
        <v>344</v>
      </c>
      <c r="L338" s="15">
        <f ca="1">RANDBETWEEN(30,87)</f>
        <v>44</v>
      </c>
      <c r="M338" s="11">
        <f ca="1">(L338/J338)</f>
        <v>0.14666666666666667</v>
      </c>
      <c r="N338" s="18">
        <v>39</v>
      </c>
      <c r="O338" s="18" t="str">
        <f t="shared" ca="1" si="23"/>
        <v>Understocked</v>
      </c>
      <c r="P338" s="11" t="str">
        <f ca="1">RANDBETWEEN(30,76)&amp;"%"</f>
        <v>42%</v>
      </c>
      <c r="Q338" s="18">
        <f>PRODUCT(K338,N338)</f>
        <v>13416</v>
      </c>
    </row>
    <row r="339" spans="1:17" x14ac:dyDescent="0.45">
      <c r="A339" s="6" t="s">
        <v>47</v>
      </c>
      <c r="B339" s="9" t="s">
        <v>44</v>
      </c>
      <c r="C339" s="6" t="s">
        <v>45</v>
      </c>
      <c r="D339" s="18">
        <f ca="1">RANDBETWEEN(500,1000)</f>
        <v>901</v>
      </c>
      <c r="E339" s="19">
        <v>45684</v>
      </c>
      <c r="F339" s="18">
        <v>81</v>
      </c>
      <c r="G339" s="20">
        <v>0.33</v>
      </c>
      <c r="H339" s="18">
        <f t="shared" ca="1" si="21"/>
        <v>61</v>
      </c>
      <c r="I339" s="18">
        <f t="shared" ca="1" si="22"/>
        <v>187</v>
      </c>
      <c r="J339" s="15">
        <f ca="1">K339-L339</f>
        <v>956</v>
      </c>
      <c r="K339" s="15">
        <v>1032</v>
      </c>
      <c r="L339" s="15">
        <f ca="1">RANDBETWEEN(30,87)</f>
        <v>76</v>
      </c>
      <c r="M339" s="11">
        <f ca="1">(L339/J339)</f>
        <v>7.9497907949790794E-2</v>
      </c>
      <c r="N339" s="18">
        <v>42</v>
      </c>
      <c r="O339" s="18" t="str">
        <f t="shared" ca="1" si="23"/>
        <v>Optimal</v>
      </c>
      <c r="P339" s="11" t="str">
        <f ca="1">RANDBETWEEN(30,76)&amp;"%"</f>
        <v>54%</v>
      </c>
      <c r="Q339" s="18">
        <f>PRODUCT(K339,N339)</f>
        <v>43344</v>
      </c>
    </row>
    <row r="340" spans="1:17" x14ac:dyDescent="0.45">
      <c r="A340" s="6" t="s">
        <v>49</v>
      </c>
      <c r="B340" s="9" t="s">
        <v>44</v>
      </c>
      <c r="C340" s="6" t="s">
        <v>45</v>
      </c>
      <c r="D340" s="18">
        <f ca="1">RANDBETWEEN(500,1000)</f>
        <v>610</v>
      </c>
      <c r="E340" s="19">
        <v>45570</v>
      </c>
      <c r="F340" s="18">
        <v>17</v>
      </c>
      <c r="G340" s="20">
        <v>0.72</v>
      </c>
      <c r="H340" s="18">
        <f t="shared" ca="1" si="21"/>
        <v>67</v>
      </c>
      <c r="I340" s="18">
        <f t="shared" ca="1" si="22"/>
        <v>137</v>
      </c>
      <c r="J340" s="15">
        <f ca="1">K340-L340</f>
        <v>526</v>
      </c>
      <c r="K340" s="15">
        <v>602</v>
      </c>
      <c r="L340" s="15">
        <f ca="1">RANDBETWEEN(30,87)</f>
        <v>76</v>
      </c>
      <c r="M340" s="11">
        <f ca="1">(L340/J340)</f>
        <v>0.14448669201520911</v>
      </c>
      <c r="N340" s="18">
        <v>36</v>
      </c>
      <c r="O340" s="18" t="str">
        <f t="shared" ca="1" si="23"/>
        <v>Understocked</v>
      </c>
      <c r="P340" s="11" t="str">
        <f ca="1">RANDBETWEEN(30,76)&amp;"%"</f>
        <v>46%</v>
      </c>
      <c r="Q340" s="18">
        <f>PRODUCT(K340,N340)</f>
        <v>21672</v>
      </c>
    </row>
    <row r="341" spans="1:17" x14ac:dyDescent="0.45">
      <c r="A341" s="6" t="s">
        <v>50</v>
      </c>
      <c r="B341" s="9" t="s">
        <v>44</v>
      </c>
      <c r="C341" s="6" t="s">
        <v>45</v>
      </c>
      <c r="D341" s="18">
        <f ca="1">RANDBETWEEN(500,1000)</f>
        <v>622</v>
      </c>
      <c r="E341" s="19">
        <v>45567</v>
      </c>
      <c r="F341" s="18">
        <v>84</v>
      </c>
      <c r="G341" s="20">
        <v>0.59</v>
      </c>
      <c r="H341" s="18">
        <f t="shared" ca="1" si="21"/>
        <v>52</v>
      </c>
      <c r="I341" s="18">
        <f t="shared" ca="1" si="22"/>
        <v>107</v>
      </c>
      <c r="J341" s="15">
        <f ca="1">K341-L341</f>
        <v>315</v>
      </c>
      <c r="K341" s="15">
        <v>387</v>
      </c>
      <c r="L341" s="15">
        <f ca="1">RANDBETWEEN(30,87)</f>
        <v>72</v>
      </c>
      <c r="M341" s="11">
        <f ca="1">(L341/J341)</f>
        <v>0.22857142857142856</v>
      </c>
      <c r="N341" s="18">
        <v>66</v>
      </c>
      <c r="O341" s="18" t="str">
        <f t="shared" ca="1" si="23"/>
        <v>Optimal</v>
      </c>
      <c r="P341" s="11" t="str">
        <f ca="1">RANDBETWEEN(30,76)&amp;"%"</f>
        <v>71%</v>
      </c>
      <c r="Q341" s="18">
        <f>PRODUCT(K341,N341)</f>
        <v>25542</v>
      </c>
    </row>
    <row r="342" spans="1:17" x14ac:dyDescent="0.45">
      <c r="A342" s="6" t="s">
        <v>51</v>
      </c>
      <c r="B342" s="9" t="s">
        <v>44</v>
      </c>
      <c r="C342" s="6" t="s">
        <v>45</v>
      </c>
      <c r="D342" s="18">
        <f ca="1">RANDBETWEEN(500,1000)</f>
        <v>570</v>
      </c>
      <c r="E342" s="19">
        <v>45435</v>
      </c>
      <c r="F342" s="18">
        <v>77</v>
      </c>
      <c r="G342" s="20">
        <v>0.65</v>
      </c>
      <c r="H342" s="18">
        <f t="shared" ca="1" si="21"/>
        <v>70</v>
      </c>
      <c r="I342" s="18">
        <f t="shared" ca="1" si="22"/>
        <v>141</v>
      </c>
      <c r="J342" s="15">
        <f ca="1">K342-L342</f>
        <v>63</v>
      </c>
      <c r="K342" s="15">
        <v>129</v>
      </c>
      <c r="L342" s="15">
        <f ca="1">RANDBETWEEN(30,87)</f>
        <v>66</v>
      </c>
      <c r="M342" s="11">
        <f ca="1">(L342/J342)</f>
        <v>1.0476190476190477</v>
      </c>
      <c r="N342" s="18">
        <v>63</v>
      </c>
      <c r="O342" s="18" t="str">
        <f t="shared" ca="1" si="23"/>
        <v>Optimal</v>
      </c>
      <c r="P342" s="11" t="str">
        <f ca="1">RANDBETWEEN(30,76)&amp;"%"</f>
        <v>55%</v>
      </c>
      <c r="Q342" s="18">
        <f>PRODUCT(K342,N342)</f>
        <v>8127</v>
      </c>
    </row>
    <row r="343" spans="1:17" x14ac:dyDescent="0.45">
      <c r="A343" s="6" t="s">
        <v>52</v>
      </c>
      <c r="B343" s="9" t="s">
        <v>53</v>
      </c>
      <c r="C343" s="6" t="s">
        <v>45</v>
      </c>
      <c r="D343" s="18">
        <f ca="1">RANDBETWEEN(500,1000)</f>
        <v>723</v>
      </c>
      <c r="E343" s="19">
        <v>45688</v>
      </c>
      <c r="F343" s="18">
        <v>42</v>
      </c>
      <c r="G343" s="20">
        <v>0.34</v>
      </c>
      <c r="H343" s="18">
        <f t="shared" ca="1" si="21"/>
        <v>79</v>
      </c>
      <c r="I343" s="18">
        <f t="shared" ca="1" si="22"/>
        <v>130</v>
      </c>
      <c r="J343" s="15">
        <f ca="1">K343-L343</f>
        <v>103.80000000000001</v>
      </c>
      <c r="K343" s="15">
        <v>154.80000000000001</v>
      </c>
      <c r="L343" s="15">
        <f ca="1">RANDBETWEEN(30,87)</f>
        <v>51</v>
      </c>
      <c r="M343" s="11">
        <f ca="1">(L343/J343)</f>
        <v>0.49132947976878605</v>
      </c>
      <c r="N343" s="18">
        <v>86</v>
      </c>
      <c r="O343" s="18" t="str">
        <f t="shared" ca="1" si="23"/>
        <v>Understocked</v>
      </c>
      <c r="P343" s="11" t="str">
        <f ca="1">RANDBETWEEN(30,76)&amp;"%"</f>
        <v>43%</v>
      </c>
      <c r="Q343" s="18">
        <f>PRODUCT(K343,N343)</f>
        <v>13312.800000000001</v>
      </c>
    </row>
    <row r="344" spans="1:17" x14ac:dyDescent="0.45">
      <c r="A344" s="6" t="s">
        <v>54</v>
      </c>
      <c r="B344" s="9" t="s">
        <v>53</v>
      </c>
      <c r="C344" s="6" t="s">
        <v>45</v>
      </c>
      <c r="D344" s="18">
        <f ca="1">RANDBETWEEN(500,1000)</f>
        <v>933</v>
      </c>
      <c r="E344" s="19">
        <v>45428</v>
      </c>
      <c r="F344" s="18">
        <v>38</v>
      </c>
      <c r="G344" s="20">
        <v>0.33</v>
      </c>
      <c r="H344" s="18">
        <f t="shared" ca="1" si="21"/>
        <v>61</v>
      </c>
      <c r="I344" s="18">
        <f t="shared" ca="1" si="22"/>
        <v>132</v>
      </c>
      <c r="J344" s="15">
        <f ca="1">K344-L344</f>
        <v>709.19999999999993</v>
      </c>
      <c r="K344" s="15">
        <v>791.19999999999993</v>
      </c>
      <c r="L344" s="15">
        <f ca="1">RANDBETWEEN(30,87)</f>
        <v>82</v>
      </c>
      <c r="M344" s="11">
        <f ca="1">(L344/J344)</f>
        <v>0.11562323745064863</v>
      </c>
      <c r="N344" s="18">
        <v>33</v>
      </c>
      <c r="O344" s="18" t="str">
        <f t="shared" ca="1" si="23"/>
        <v>Understocked</v>
      </c>
      <c r="P344" s="11" t="str">
        <f ca="1">RANDBETWEEN(30,76)&amp;"%"</f>
        <v>30%</v>
      </c>
      <c r="Q344" s="18">
        <f>PRODUCT(K344,N344)</f>
        <v>26109.599999999999</v>
      </c>
    </row>
    <row r="345" spans="1:17" x14ac:dyDescent="0.45">
      <c r="A345" s="6" t="s">
        <v>55</v>
      </c>
      <c r="B345" s="9" t="s">
        <v>53</v>
      </c>
      <c r="C345" s="6" t="s">
        <v>45</v>
      </c>
      <c r="D345" s="18">
        <f ca="1">RANDBETWEEN(500,1000)</f>
        <v>734</v>
      </c>
      <c r="E345" s="19">
        <v>45573</v>
      </c>
      <c r="F345" s="18">
        <v>89</v>
      </c>
      <c r="G345" s="20">
        <v>0.44</v>
      </c>
      <c r="H345" s="18">
        <f t="shared" ca="1" si="21"/>
        <v>72</v>
      </c>
      <c r="I345" s="18">
        <f t="shared" ca="1" si="22"/>
        <v>85</v>
      </c>
      <c r="J345" s="15">
        <f ca="1">K345-L345</f>
        <v>8.4000000000000057</v>
      </c>
      <c r="K345" s="15">
        <v>77.400000000000006</v>
      </c>
      <c r="L345" s="15">
        <f ca="1">RANDBETWEEN(30,87)</f>
        <v>69</v>
      </c>
      <c r="M345" s="11">
        <f ca="1">(L345/J345)</f>
        <v>8.2142857142857082</v>
      </c>
      <c r="N345" s="18">
        <v>49</v>
      </c>
      <c r="O345" s="18" t="str">
        <f t="shared" ca="1" si="23"/>
        <v>Optimal</v>
      </c>
      <c r="P345" s="11" t="str">
        <f ca="1">RANDBETWEEN(30,76)&amp;"%"</f>
        <v>34%</v>
      </c>
      <c r="Q345" s="18">
        <f>PRODUCT(K345,N345)</f>
        <v>3792.6000000000004</v>
      </c>
    </row>
    <row r="346" spans="1:17" x14ac:dyDescent="0.45">
      <c r="A346" s="6" t="s">
        <v>56</v>
      </c>
      <c r="B346" s="9" t="s">
        <v>53</v>
      </c>
      <c r="C346" s="6" t="s">
        <v>45</v>
      </c>
      <c r="D346" s="18">
        <f ca="1">RANDBETWEEN(500,1000)</f>
        <v>617</v>
      </c>
      <c r="E346" s="19">
        <v>45623</v>
      </c>
      <c r="F346" s="18">
        <v>90</v>
      </c>
      <c r="G346" s="20">
        <v>0.4</v>
      </c>
      <c r="H346" s="18">
        <f t="shared" ca="1" si="21"/>
        <v>76</v>
      </c>
      <c r="I346" s="18">
        <f t="shared" ca="1" si="22"/>
        <v>185</v>
      </c>
      <c r="J346" s="15">
        <f ca="1">K346-L346</f>
        <v>93</v>
      </c>
      <c r="K346" s="15">
        <v>172</v>
      </c>
      <c r="L346" s="15">
        <f ca="1">RANDBETWEEN(30,87)</f>
        <v>79</v>
      </c>
      <c r="M346" s="11">
        <f ca="1">(L346/J346)</f>
        <v>0.84946236559139787</v>
      </c>
      <c r="N346" s="18">
        <v>34</v>
      </c>
      <c r="O346" s="18" t="str">
        <f t="shared" ca="1" si="23"/>
        <v>Optimal</v>
      </c>
      <c r="P346" s="11" t="str">
        <f ca="1">RANDBETWEEN(30,76)&amp;"%"</f>
        <v>31%</v>
      </c>
      <c r="Q346" s="18">
        <f>PRODUCT(K346,N346)</f>
        <v>5848</v>
      </c>
    </row>
    <row r="347" spans="1:17" x14ac:dyDescent="0.45">
      <c r="A347" s="6" t="s">
        <v>57</v>
      </c>
      <c r="B347" s="9" t="s">
        <v>53</v>
      </c>
      <c r="C347" s="6" t="s">
        <v>45</v>
      </c>
      <c r="D347" s="18">
        <f ca="1">RANDBETWEEN(500,1000)</f>
        <v>594</v>
      </c>
      <c r="E347" s="19">
        <v>45693</v>
      </c>
      <c r="F347" s="18">
        <v>73</v>
      </c>
      <c r="G347" s="20">
        <v>0.46</v>
      </c>
      <c r="H347" s="18">
        <f t="shared" ca="1" si="21"/>
        <v>71</v>
      </c>
      <c r="I347" s="18">
        <f t="shared" ca="1" si="22"/>
        <v>103</v>
      </c>
      <c r="J347" s="15">
        <f ca="1">K347-L347</f>
        <v>112</v>
      </c>
      <c r="K347" s="15">
        <v>172</v>
      </c>
      <c r="L347" s="15">
        <f ca="1">RANDBETWEEN(30,87)</f>
        <v>60</v>
      </c>
      <c r="M347" s="11">
        <f ca="1">(L347/J347)</f>
        <v>0.5357142857142857</v>
      </c>
      <c r="N347" s="18">
        <v>87</v>
      </c>
      <c r="O347" s="18" t="str">
        <f t="shared" ca="1" si="23"/>
        <v>Optimal</v>
      </c>
      <c r="P347" s="11" t="str">
        <f ca="1">RANDBETWEEN(30,76)&amp;"%"</f>
        <v>41%</v>
      </c>
      <c r="Q347" s="18">
        <f>PRODUCT(K347,N347)</f>
        <v>14964</v>
      </c>
    </row>
    <row r="348" spans="1:17" x14ac:dyDescent="0.45">
      <c r="A348" s="6" t="s">
        <v>58</v>
      </c>
      <c r="B348" s="9" t="s">
        <v>53</v>
      </c>
      <c r="C348" s="6" t="s">
        <v>45</v>
      </c>
      <c r="D348" s="18">
        <f ca="1">RANDBETWEEN(500,1000)</f>
        <v>968</v>
      </c>
      <c r="E348" s="19">
        <v>45423</v>
      </c>
      <c r="F348" s="18">
        <v>55</v>
      </c>
      <c r="G348" s="20">
        <v>0.46</v>
      </c>
      <c r="H348" s="18">
        <f t="shared" ca="1" si="21"/>
        <v>71</v>
      </c>
      <c r="I348" s="18">
        <f t="shared" ca="1" si="22"/>
        <v>127</v>
      </c>
      <c r="J348" s="15">
        <f ca="1">K348-L348</f>
        <v>329</v>
      </c>
      <c r="K348" s="15">
        <v>387</v>
      </c>
      <c r="L348" s="15">
        <f ca="1">RANDBETWEEN(30,87)</f>
        <v>58</v>
      </c>
      <c r="M348" s="11">
        <f ca="1">(L348/J348)</f>
        <v>0.17629179331306991</v>
      </c>
      <c r="N348" s="18">
        <v>23</v>
      </c>
      <c r="O348" s="18" t="str">
        <f t="shared" ca="1" si="23"/>
        <v>Understocked</v>
      </c>
      <c r="P348" s="11" t="str">
        <f ca="1">RANDBETWEEN(30,76)&amp;"%"</f>
        <v>75%</v>
      </c>
      <c r="Q348" s="18">
        <f>PRODUCT(K348,N348)</f>
        <v>8901</v>
      </c>
    </row>
    <row r="349" spans="1:17" x14ac:dyDescent="0.45">
      <c r="A349" s="6" t="s">
        <v>59</v>
      </c>
      <c r="B349" s="9" t="s">
        <v>53</v>
      </c>
      <c r="C349" s="6" t="s">
        <v>45</v>
      </c>
      <c r="D349" s="18">
        <f ca="1">RANDBETWEEN(500,1000)</f>
        <v>583</v>
      </c>
      <c r="E349" s="19">
        <v>45502</v>
      </c>
      <c r="F349" s="18">
        <v>90</v>
      </c>
      <c r="G349" s="20">
        <v>0.7</v>
      </c>
      <c r="H349" s="18">
        <f t="shared" ca="1" si="21"/>
        <v>57</v>
      </c>
      <c r="I349" s="18">
        <f t="shared" ca="1" si="22"/>
        <v>139</v>
      </c>
      <c r="J349" s="15">
        <f ca="1">K349-L349</f>
        <v>736</v>
      </c>
      <c r="K349" s="15">
        <v>774</v>
      </c>
      <c r="L349" s="15">
        <f ca="1">RANDBETWEEN(30,87)</f>
        <v>38</v>
      </c>
      <c r="M349" s="11">
        <f ca="1">(L349/J349)</f>
        <v>5.1630434782608696E-2</v>
      </c>
      <c r="N349" s="18">
        <v>76</v>
      </c>
      <c r="O349" s="18" t="str">
        <f t="shared" ca="1" si="23"/>
        <v>Optimal</v>
      </c>
      <c r="P349" s="11" t="str">
        <f ca="1">RANDBETWEEN(30,76)&amp;"%"</f>
        <v>51%</v>
      </c>
      <c r="Q349" s="18">
        <f>PRODUCT(K349,N349)</f>
        <v>58824</v>
      </c>
    </row>
    <row r="350" spans="1:17" x14ac:dyDescent="0.45">
      <c r="A350" s="6" t="s">
        <v>85</v>
      </c>
      <c r="B350" s="9" t="s">
        <v>86</v>
      </c>
      <c r="C350" s="6" t="s">
        <v>45</v>
      </c>
      <c r="D350" s="18">
        <f ca="1">RANDBETWEEN(500,1000)</f>
        <v>757</v>
      </c>
      <c r="E350" s="19">
        <v>45347</v>
      </c>
      <c r="F350" s="18">
        <v>92</v>
      </c>
      <c r="G350" s="20">
        <v>0.55000000000000004</v>
      </c>
      <c r="H350" s="18">
        <f t="shared" ca="1" si="21"/>
        <v>63</v>
      </c>
      <c r="I350" s="18">
        <f t="shared" ca="1" si="22"/>
        <v>147</v>
      </c>
      <c r="J350" s="15">
        <f ca="1">K350-L350</f>
        <v>798</v>
      </c>
      <c r="K350" s="15">
        <v>860</v>
      </c>
      <c r="L350" s="15">
        <f ca="1">RANDBETWEEN(30,87)</f>
        <v>62</v>
      </c>
      <c r="M350" s="11">
        <f ca="1">(L350/J350)</f>
        <v>7.7694235588972427E-2</v>
      </c>
      <c r="N350" s="18">
        <v>62</v>
      </c>
      <c r="O350" s="18" t="str">
        <f t="shared" ca="1" si="23"/>
        <v>Optimal</v>
      </c>
      <c r="P350" s="11" t="str">
        <f ca="1">RANDBETWEEN(30,76)&amp;"%"</f>
        <v>40%</v>
      </c>
      <c r="Q350" s="18">
        <f>PRODUCT(K350,N350)</f>
        <v>53320</v>
      </c>
    </row>
    <row r="351" spans="1:17" x14ac:dyDescent="0.45">
      <c r="A351" s="6" t="s">
        <v>87</v>
      </c>
      <c r="B351" s="9" t="s">
        <v>86</v>
      </c>
      <c r="C351" s="6" t="s">
        <v>45</v>
      </c>
      <c r="D351" s="18">
        <f ca="1">RANDBETWEEN(500,1000)</f>
        <v>806</v>
      </c>
      <c r="E351" s="19">
        <v>45668</v>
      </c>
      <c r="F351" s="18">
        <v>68</v>
      </c>
      <c r="G351" s="20">
        <v>0.75</v>
      </c>
      <c r="H351" s="18">
        <f t="shared" ca="1" si="21"/>
        <v>55</v>
      </c>
      <c r="I351" s="18">
        <f t="shared" ca="1" si="22"/>
        <v>154</v>
      </c>
      <c r="J351" s="15">
        <f ca="1">K351-L351</f>
        <v>272</v>
      </c>
      <c r="K351" s="15">
        <v>344</v>
      </c>
      <c r="L351" s="15">
        <f ca="1">RANDBETWEEN(30,87)</f>
        <v>72</v>
      </c>
      <c r="M351" s="11">
        <f ca="1">(L351/J351)</f>
        <v>0.26470588235294118</v>
      </c>
      <c r="N351" s="18">
        <v>84</v>
      </c>
      <c r="O351" s="18" t="str">
        <f t="shared" ca="1" si="23"/>
        <v>Optimal</v>
      </c>
      <c r="P351" s="11" t="str">
        <f ca="1">RANDBETWEEN(30,76)&amp;"%"</f>
        <v>49%</v>
      </c>
      <c r="Q351" s="18">
        <f>PRODUCT(K351,N351)</f>
        <v>28896</v>
      </c>
    </row>
    <row r="352" spans="1:17" x14ac:dyDescent="0.45">
      <c r="A352" s="6" t="s">
        <v>88</v>
      </c>
      <c r="B352" s="9" t="s">
        <v>86</v>
      </c>
      <c r="C352" s="6" t="s">
        <v>45</v>
      </c>
      <c r="D352" s="18">
        <f ca="1">RANDBETWEEN(500,1000)</f>
        <v>792</v>
      </c>
      <c r="E352" s="19">
        <v>45634</v>
      </c>
      <c r="F352" s="18">
        <v>46</v>
      </c>
      <c r="G352" s="20">
        <v>0.69</v>
      </c>
      <c r="H352" s="18">
        <f t="shared" ca="1" si="21"/>
        <v>68</v>
      </c>
      <c r="I352" s="18">
        <f t="shared" ca="1" si="22"/>
        <v>140</v>
      </c>
      <c r="J352" s="15">
        <f ca="1">K352-L352</f>
        <v>258</v>
      </c>
      <c r="K352" s="15">
        <v>344</v>
      </c>
      <c r="L352" s="15">
        <f ca="1">RANDBETWEEN(30,87)</f>
        <v>86</v>
      </c>
      <c r="M352" s="11">
        <f ca="1">(L352/J352)</f>
        <v>0.33333333333333331</v>
      </c>
      <c r="N352" s="18">
        <v>59</v>
      </c>
      <c r="O352" s="18" t="str">
        <f t="shared" ca="1" si="23"/>
        <v>Understocked</v>
      </c>
      <c r="P352" s="11" t="str">
        <f ca="1">RANDBETWEEN(30,76)&amp;"%"</f>
        <v>61%</v>
      </c>
      <c r="Q352" s="18">
        <f>PRODUCT(K352,N352)</f>
        <v>20296</v>
      </c>
    </row>
    <row r="353" spans="1:17" x14ac:dyDescent="0.45">
      <c r="A353" s="6" t="s">
        <v>89</v>
      </c>
      <c r="B353" s="9" t="s">
        <v>86</v>
      </c>
      <c r="C353" s="6" t="s">
        <v>45</v>
      </c>
      <c r="D353" s="18">
        <f ca="1">RANDBETWEEN(500,1000)</f>
        <v>655</v>
      </c>
      <c r="E353" s="19">
        <v>45657</v>
      </c>
      <c r="F353" s="18">
        <v>22</v>
      </c>
      <c r="G353" s="20">
        <v>0.62</v>
      </c>
      <c r="H353" s="18">
        <f t="shared" ca="1" si="21"/>
        <v>80</v>
      </c>
      <c r="I353" s="18">
        <f t="shared" ca="1" si="22"/>
        <v>92</v>
      </c>
      <c r="J353" s="15">
        <f ca="1">K353-L353</f>
        <v>279.5</v>
      </c>
      <c r="K353" s="15">
        <v>365.5</v>
      </c>
      <c r="L353" s="15">
        <f ca="1">RANDBETWEEN(30,87)</f>
        <v>86</v>
      </c>
      <c r="M353" s="11">
        <f ca="1">(L353/J353)</f>
        <v>0.30769230769230771</v>
      </c>
      <c r="N353" s="18">
        <v>98</v>
      </c>
      <c r="O353" s="18" t="str">
        <f t="shared" ca="1" si="23"/>
        <v>Understocked</v>
      </c>
      <c r="P353" s="11" t="str">
        <f ca="1">RANDBETWEEN(30,76)&amp;"%"</f>
        <v>36%</v>
      </c>
      <c r="Q353" s="18">
        <f>PRODUCT(K353,N353)</f>
        <v>35819</v>
      </c>
    </row>
    <row r="354" spans="1:17" x14ac:dyDescent="0.45">
      <c r="A354" s="6" t="s">
        <v>90</v>
      </c>
      <c r="B354" s="9" t="s">
        <v>86</v>
      </c>
      <c r="C354" s="6" t="s">
        <v>45</v>
      </c>
      <c r="D354" s="18">
        <f ca="1">RANDBETWEEN(500,1000)</f>
        <v>765</v>
      </c>
      <c r="E354" s="19">
        <v>45630</v>
      </c>
      <c r="F354" s="18">
        <v>78</v>
      </c>
      <c r="G354" s="20">
        <v>0.68</v>
      </c>
      <c r="H354" s="18">
        <f t="shared" ca="1" si="21"/>
        <v>51</v>
      </c>
      <c r="I354" s="18">
        <f t="shared" ca="1" si="22"/>
        <v>121</v>
      </c>
      <c r="J354" s="15">
        <f ca="1">K354-L354</f>
        <v>481</v>
      </c>
      <c r="K354" s="15">
        <v>516</v>
      </c>
      <c r="L354" s="15">
        <f ca="1">RANDBETWEEN(30,87)</f>
        <v>35</v>
      </c>
      <c r="M354" s="11">
        <f ca="1">(L354/J354)</f>
        <v>7.2765072765072769E-2</v>
      </c>
      <c r="N354" s="18">
        <v>25</v>
      </c>
      <c r="O354" s="18" t="str">
        <f t="shared" ca="1" si="23"/>
        <v>Optimal</v>
      </c>
      <c r="P354" s="11" t="str">
        <f ca="1">RANDBETWEEN(30,76)&amp;"%"</f>
        <v>38%</v>
      </c>
      <c r="Q354" s="18">
        <f>PRODUCT(K354,N354)</f>
        <v>12900</v>
      </c>
    </row>
    <row r="355" spans="1:17" x14ac:dyDescent="0.45">
      <c r="A355" s="6" t="s">
        <v>91</v>
      </c>
      <c r="B355" s="9" t="s">
        <v>86</v>
      </c>
      <c r="C355" s="6" t="s">
        <v>45</v>
      </c>
      <c r="D355" s="18">
        <f ca="1">RANDBETWEEN(500,1000)</f>
        <v>916</v>
      </c>
      <c r="E355" s="19">
        <v>45677</v>
      </c>
      <c r="F355" s="18">
        <v>80</v>
      </c>
      <c r="G355" s="20">
        <v>0.72</v>
      </c>
      <c r="H355" s="18">
        <f t="shared" ca="1" si="21"/>
        <v>65</v>
      </c>
      <c r="I355" s="18">
        <f t="shared" ca="1" si="22"/>
        <v>98</v>
      </c>
      <c r="J355" s="15">
        <f ca="1">K355-L355</f>
        <v>774</v>
      </c>
      <c r="K355" s="15">
        <v>860</v>
      </c>
      <c r="L355" s="15">
        <f ca="1">RANDBETWEEN(30,87)</f>
        <v>86</v>
      </c>
      <c r="M355" s="11">
        <f ca="1">(L355/J355)</f>
        <v>0.1111111111111111</v>
      </c>
      <c r="N355" s="18">
        <v>26</v>
      </c>
      <c r="O355" s="18" t="str">
        <f t="shared" ca="1" si="23"/>
        <v>Optimal</v>
      </c>
      <c r="P355" s="11" t="str">
        <f ca="1">RANDBETWEEN(30,76)&amp;"%"</f>
        <v>62%</v>
      </c>
      <c r="Q355" s="18">
        <f>PRODUCT(K355,N355)</f>
        <v>22360</v>
      </c>
    </row>
    <row r="356" spans="1:17" x14ac:dyDescent="0.45">
      <c r="A356" s="6" t="s">
        <v>92</v>
      </c>
      <c r="B356" s="9" t="s">
        <v>86</v>
      </c>
      <c r="C356" s="6" t="s">
        <v>45</v>
      </c>
      <c r="D356" s="18">
        <f ca="1">RANDBETWEEN(500,1000)</f>
        <v>625</v>
      </c>
      <c r="E356" s="19">
        <v>45582</v>
      </c>
      <c r="F356" s="18">
        <v>34</v>
      </c>
      <c r="G356" s="20">
        <v>0.56000000000000005</v>
      </c>
      <c r="H356" s="18">
        <f t="shared" ca="1" si="21"/>
        <v>53</v>
      </c>
      <c r="I356" s="18">
        <f t="shared" ca="1" si="22"/>
        <v>186</v>
      </c>
      <c r="J356" s="15">
        <f ca="1">K356-L356</f>
        <v>772.5</v>
      </c>
      <c r="K356" s="15">
        <v>838.5</v>
      </c>
      <c r="L356" s="15">
        <f ca="1">RANDBETWEEN(30,87)</f>
        <v>66</v>
      </c>
      <c r="M356" s="11">
        <f ca="1">(L356/J356)</f>
        <v>8.5436893203883493E-2</v>
      </c>
      <c r="N356" s="18">
        <v>41</v>
      </c>
      <c r="O356" s="18" t="str">
        <f t="shared" ca="1" si="23"/>
        <v>Understocked</v>
      </c>
      <c r="P356" s="11" t="str">
        <f ca="1">RANDBETWEEN(30,76)&amp;"%"</f>
        <v>47%</v>
      </c>
      <c r="Q356" s="18">
        <f>PRODUCT(K356,N356)</f>
        <v>34378.5</v>
      </c>
    </row>
    <row r="357" spans="1:17" x14ac:dyDescent="0.45">
      <c r="A357" s="6" t="s">
        <v>93</v>
      </c>
      <c r="B357" s="9" t="s">
        <v>86</v>
      </c>
      <c r="C357" s="6" t="s">
        <v>45</v>
      </c>
      <c r="D357" s="18">
        <f ca="1">RANDBETWEEN(500,1000)</f>
        <v>560</v>
      </c>
      <c r="E357" s="19">
        <v>45704</v>
      </c>
      <c r="F357" s="18">
        <v>18</v>
      </c>
      <c r="G357" s="20">
        <v>0.32</v>
      </c>
      <c r="H357" s="18">
        <f t="shared" ca="1" si="21"/>
        <v>75</v>
      </c>
      <c r="I357" s="18">
        <f t="shared" ca="1" si="22"/>
        <v>84</v>
      </c>
      <c r="J357" s="15">
        <f ca="1">K357-L357</f>
        <v>454</v>
      </c>
      <c r="K357" s="15">
        <v>516</v>
      </c>
      <c r="L357" s="15">
        <f ca="1">RANDBETWEEN(30,87)</f>
        <v>62</v>
      </c>
      <c r="M357" s="11">
        <f ca="1">(L357/J357)</f>
        <v>0.13656387665198239</v>
      </c>
      <c r="N357" s="18">
        <v>58</v>
      </c>
      <c r="O357" s="18" t="str">
        <f t="shared" ca="1" si="23"/>
        <v>Understocked</v>
      </c>
      <c r="P357" s="11" t="str">
        <f ca="1">RANDBETWEEN(30,76)&amp;"%"</f>
        <v>59%</v>
      </c>
      <c r="Q357" s="18">
        <f>PRODUCT(K357,N357)</f>
        <v>29928</v>
      </c>
    </row>
    <row r="358" spans="1:17" x14ac:dyDescent="0.45">
      <c r="A358" s="6" t="s">
        <v>103</v>
      </c>
      <c r="B358" s="9" t="s">
        <v>104</v>
      </c>
      <c r="C358" s="6" t="s">
        <v>45</v>
      </c>
      <c r="D358" s="18">
        <f ca="1">RANDBETWEEN(500,1000)</f>
        <v>668</v>
      </c>
      <c r="E358" s="19">
        <v>45406</v>
      </c>
      <c r="F358" s="18">
        <v>95</v>
      </c>
      <c r="G358" s="20">
        <v>0.47</v>
      </c>
      <c r="H358" s="18">
        <f t="shared" ca="1" si="21"/>
        <v>73</v>
      </c>
      <c r="I358" s="18">
        <f t="shared" ca="1" si="22"/>
        <v>113</v>
      </c>
      <c r="J358" s="15">
        <f ca="1">K358-L358</f>
        <v>994</v>
      </c>
      <c r="K358" s="15">
        <v>1032</v>
      </c>
      <c r="L358" s="15">
        <f ca="1">RANDBETWEEN(30,87)</f>
        <v>38</v>
      </c>
      <c r="M358" s="11">
        <f ca="1">(L358/J358)</f>
        <v>3.8229376257545272E-2</v>
      </c>
      <c r="N358" s="18">
        <v>87</v>
      </c>
      <c r="O358" s="18" t="str">
        <f t="shared" ca="1" si="23"/>
        <v>Optimal</v>
      </c>
      <c r="P358" s="11" t="str">
        <f ca="1">RANDBETWEEN(30,76)&amp;"%"</f>
        <v>51%</v>
      </c>
      <c r="Q358" s="18">
        <f>PRODUCT(K358,N358)</f>
        <v>89784</v>
      </c>
    </row>
    <row r="359" spans="1:17" x14ac:dyDescent="0.45">
      <c r="A359" s="6" t="s">
        <v>105</v>
      </c>
      <c r="B359" s="9" t="s">
        <v>104</v>
      </c>
      <c r="C359" s="6" t="s">
        <v>45</v>
      </c>
      <c r="D359" s="18">
        <f ca="1">RANDBETWEEN(500,1000)</f>
        <v>693</v>
      </c>
      <c r="E359" s="19">
        <v>45369</v>
      </c>
      <c r="F359" s="18">
        <v>82</v>
      </c>
      <c r="G359" s="20">
        <v>0.38</v>
      </c>
      <c r="H359" s="18">
        <f t="shared" ca="1" si="21"/>
        <v>64</v>
      </c>
      <c r="I359" s="18">
        <f t="shared" ca="1" si="22"/>
        <v>175</v>
      </c>
      <c r="J359" s="15">
        <f ca="1">K359-L359</f>
        <v>266</v>
      </c>
      <c r="K359" s="15">
        <v>344</v>
      </c>
      <c r="L359" s="15">
        <f ca="1">RANDBETWEEN(30,87)</f>
        <v>78</v>
      </c>
      <c r="M359" s="11">
        <f ca="1">(L359/J359)</f>
        <v>0.2932330827067669</v>
      </c>
      <c r="N359" s="18">
        <v>77</v>
      </c>
      <c r="O359" s="18" t="str">
        <f t="shared" ca="1" si="23"/>
        <v>Optimal</v>
      </c>
      <c r="P359" s="11" t="str">
        <f ca="1">RANDBETWEEN(30,76)&amp;"%"</f>
        <v>49%</v>
      </c>
      <c r="Q359" s="18">
        <f>PRODUCT(K359,N359)</f>
        <v>26488</v>
      </c>
    </row>
    <row r="360" spans="1:17" x14ac:dyDescent="0.45">
      <c r="A360" s="6" t="s">
        <v>106</v>
      </c>
      <c r="B360" s="9" t="s">
        <v>104</v>
      </c>
      <c r="C360" s="6" t="s">
        <v>45</v>
      </c>
      <c r="D360" s="18">
        <f ca="1">RANDBETWEEN(500,1000)</f>
        <v>502</v>
      </c>
      <c r="E360" s="19">
        <v>45491</v>
      </c>
      <c r="F360" s="18">
        <v>39</v>
      </c>
      <c r="G360" s="20">
        <v>0.8</v>
      </c>
      <c r="H360" s="18">
        <f t="shared" ca="1" si="21"/>
        <v>62</v>
      </c>
      <c r="I360" s="18">
        <f t="shared" ca="1" si="22"/>
        <v>143</v>
      </c>
      <c r="J360" s="15">
        <f ca="1">K360-L360</f>
        <v>272</v>
      </c>
      <c r="K360" s="15">
        <v>344</v>
      </c>
      <c r="L360" s="15">
        <f ca="1">RANDBETWEEN(30,87)</f>
        <v>72</v>
      </c>
      <c r="M360" s="11">
        <f ca="1">(L360/J360)</f>
        <v>0.26470588235294118</v>
      </c>
      <c r="N360" s="18">
        <v>58</v>
      </c>
      <c r="O360" s="18" t="str">
        <f t="shared" ca="1" si="23"/>
        <v>Understocked</v>
      </c>
      <c r="P360" s="11" t="str">
        <f ca="1">RANDBETWEEN(30,76)&amp;"%"</f>
        <v>33%</v>
      </c>
      <c r="Q360" s="18">
        <f>PRODUCT(K360,N360)</f>
        <v>19952</v>
      </c>
    </row>
    <row r="361" spans="1:17" x14ac:dyDescent="0.45">
      <c r="A361" s="6" t="s">
        <v>107</v>
      </c>
      <c r="B361" s="9" t="s">
        <v>104</v>
      </c>
      <c r="C361" s="6" t="s">
        <v>45</v>
      </c>
      <c r="D361" s="18">
        <f ca="1">RANDBETWEEN(500,1000)</f>
        <v>806</v>
      </c>
      <c r="E361" s="19">
        <v>45531</v>
      </c>
      <c r="F361" s="18">
        <v>56</v>
      </c>
      <c r="G361" s="20">
        <v>0.82</v>
      </c>
      <c r="H361" s="18">
        <f t="shared" ca="1" si="21"/>
        <v>60</v>
      </c>
      <c r="I361" s="18">
        <f t="shared" ca="1" si="22"/>
        <v>137</v>
      </c>
      <c r="J361" s="15">
        <f ca="1">K361-L361</f>
        <v>258</v>
      </c>
      <c r="K361" s="15">
        <v>301</v>
      </c>
      <c r="L361" s="15">
        <f ca="1">RANDBETWEEN(30,87)</f>
        <v>43</v>
      </c>
      <c r="M361" s="11">
        <f ca="1">(L361/J361)</f>
        <v>0.16666666666666666</v>
      </c>
      <c r="N361" s="18">
        <v>35</v>
      </c>
      <c r="O361" s="18" t="str">
        <f t="shared" ca="1" si="23"/>
        <v>Understocked</v>
      </c>
      <c r="P361" s="11" t="str">
        <f ca="1">RANDBETWEEN(30,76)&amp;"%"</f>
        <v>33%</v>
      </c>
      <c r="Q361" s="18">
        <f>PRODUCT(K361,N361)</f>
        <v>10535</v>
      </c>
    </row>
    <row r="362" spans="1:17" x14ac:dyDescent="0.45">
      <c r="A362" s="6" t="s">
        <v>115</v>
      </c>
      <c r="B362" s="9" t="s">
        <v>116</v>
      </c>
      <c r="C362" s="6" t="s">
        <v>45</v>
      </c>
      <c r="D362" s="18">
        <f ca="1">RANDBETWEEN(500,1000)</f>
        <v>641</v>
      </c>
      <c r="E362" s="19">
        <v>45663</v>
      </c>
      <c r="F362" s="18">
        <v>46</v>
      </c>
      <c r="G362" s="20">
        <v>0.74</v>
      </c>
      <c r="H362" s="18">
        <f t="shared" ca="1" si="21"/>
        <v>50</v>
      </c>
      <c r="I362" s="18">
        <f t="shared" ca="1" si="22"/>
        <v>186</v>
      </c>
      <c r="J362" s="15">
        <f ca="1">K362-L362</f>
        <v>308</v>
      </c>
      <c r="K362" s="15">
        <v>387</v>
      </c>
      <c r="L362" s="15">
        <f ca="1">RANDBETWEEN(30,87)</f>
        <v>79</v>
      </c>
      <c r="M362" s="11">
        <f ca="1">(L362/J362)</f>
        <v>0.2564935064935065</v>
      </c>
      <c r="N362" s="18">
        <v>96</v>
      </c>
      <c r="O362" s="18" t="str">
        <f t="shared" ca="1" si="23"/>
        <v>Understocked</v>
      </c>
      <c r="P362" s="11" t="str">
        <f ca="1">RANDBETWEEN(30,76)&amp;"%"</f>
        <v>43%</v>
      </c>
      <c r="Q362" s="18">
        <f>PRODUCT(K362,N362)</f>
        <v>37152</v>
      </c>
    </row>
    <row r="363" spans="1:17" x14ac:dyDescent="0.45">
      <c r="A363" s="6" t="s">
        <v>117</v>
      </c>
      <c r="B363" s="9" t="s">
        <v>116</v>
      </c>
      <c r="C363" s="6" t="s">
        <v>45</v>
      </c>
      <c r="D363" s="18">
        <f ca="1">RANDBETWEEN(500,1000)</f>
        <v>946</v>
      </c>
      <c r="E363" s="19">
        <v>45428</v>
      </c>
      <c r="F363" s="18">
        <v>96</v>
      </c>
      <c r="G363" s="20">
        <v>0.61</v>
      </c>
      <c r="H363" s="18">
        <f t="shared" ca="1" si="21"/>
        <v>73</v>
      </c>
      <c r="I363" s="18">
        <f t="shared" ca="1" si="22"/>
        <v>174</v>
      </c>
      <c r="J363" s="15">
        <f ca="1">K363-L363</f>
        <v>1482</v>
      </c>
      <c r="K363" s="15">
        <v>1548</v>
      </c>
      <c r="L363" s="15">
        <f ca="1">RANDBETWEEN(30,87)</f>
        <v>66</v>
      </c>
      <c r="M363" s="11">
        <f ca="1">(L363/J363)</f>
        <v>4.4534412955465584E-2</v>
      </c>
      <c r="N363" s="18">
        <v>74</v>
      </c>
      <c r="O363" s="18" t="str">
        <f t="shared" ca="1" si="23"/>
        <v>Optimal</v>
      </c>
      <c r="P363" s="11" t="str">
        <f ca="1">RANDBETWEEN(30,76)&amp;"%"</f>
        <v>50%</v>
      </c>
      <c r="Q363" s="18">
        <f>PRODUCT(K363,N363)</f>
        <v>114552</v>
      </c>
    </row>
    <row r="364" spans="1:17" x14ac:dyDescent="0.45">
      <c r="A364" s="6" t="s">
        <v>118</v>
      </c>
      <c r="B364" s="9" t="s">
        <v>116</v>
      </c>
      <c r="C364" s="6" t="s">
        <v>45</v>
      </c>
      <c r="D364" s="18">
        <f ca="1">RANDBETWEEN(500,1000)</f>
        <v>613</v>
      </c>
      <c r="E364" s="19">
        <v>45663</v>
      </c>
      <c r="F364" s="18">
        <v>89</v>
      </c>
      <c r="G364" s="20">
        <v>0.31</v>
      </c>
      <c r="H364" s="18">
        <f t="shared" ca="1" si="21"/>
        <v>61</v>
      </c>
      <c r="I364" s="18">
        <f t="shared" ca="1" si="22"/>
        <v>160</v>
      </c>
      <c r="J364" s="15">
        <f ca="1">K364-L364</f>
        <v>165</v>
      </c>
      <c r="K364" s="15">
        <v>215</v>
      </c>
      <c r="L364" s="15">
        <f ca="1">RANDBETWEEN(30,87)</f>
        <v>50</v>
      </c>
      <c r="M364" s="11">
        <f ca="1">(L364/J364)</f>
        <v>0.30303030303030304</v>
      </c>
      <c r="N364" s="18">
        <v>38</v>
      </c>
      <c r="O364" s="18" t="str">
        <f t="shared" ca="1" si="23"/>
        <v>Optimal</v>
      </c>
      <c r="P364" s="11" t="str">
        <f ca="1">RANDBETWEEN(30,76)&amp;"%"</f>
        <v>68%</v>
      </c>
      <c r="Q364" s="18">
        <f>PRODUCT(K364,N364)</f>
        <v>8170</v>
      </c>
    </row>
    <row r="365" spans="1:17" hidden="1" x14ac:dyDescent="0.45">
      <c r="A365" t="s">
        <v>428</v>
      </c>
      <c r="B365" t="s">
        <v>422</v>
      </c>
      <c r="C365" t="s">
        <v>212</v>
      </c>
      <c r="D365">
        <f ca="1">RANDBETWEEN(8,15)</f>
        <v>14</v>
      </c>
      <c r="E365" s="1">
        <v>45494</v>
      </c>
      <c r="F365">
        <v>19</v>
      </c>
      <c r="G365" s="2">
        <v>0.63</v>
      </c>
      <c r="H365">
        <v>100</v>
      </c>
      <c r="I365">
        <v>83</v>
      </c>
      <c r="J365" s="4">
        <f ca="1">K365-L365</f>
        <v>-39.799999999999997</v>
      </c>
      <c r="K365" s="4">
        <v>17.2</v>
      </c>
      <c r="L365" s="4">
        <f ca="1">RANDBETWEEN(30,87)</f>
        <v>57</v>
      </c>
      <c r="M365" s="3">
        <f ca="1">(L365/J365)</f>
        <v>-1.4321608040201006</v>
      </c>
      <c r="N365">
        <v>66</v>
      </c>
      <c r="O365" t="s">
        <v>18</v>
      </c>
      <c r="P365">
        <v>98</v>
      </c>
    </row>
    <row r="366" spans="1:17" x14ac:dyDescent="0.45">
      <c r="A366" s="6" t="s">
        <v>119</v>
      </c>
      <c r="B366" s="9" t="s">
        <v>116</v>
      </c>
      <c r="C366" s="6" t="s">
        <v>45</v>
      </c>
      <c r="D366" s="18">
        <f ca="1">RANDBETWEEN(500,1000)</f>
        <v>750</v>
      </c>
      <c r="E366" s="19">
        <v>45580</v>
      </c>
      <c r="F366" s="18">
        <v>94</v>
      </c>
      <c r="G366" s="20">
        <v>0.72</v>
      </c>
      <c r="H366" s="18">
        <f t="shared" ref="H366:H403" ca="1" si="24">RANDBETWEEN(50,80)</f>
        <v>57</v>
      </c>
      <c r="I366" s="18">
        <f t="shared" ref="I366:I403" ca="1" si="25">RANDBETWEEN(70,200)</f>
        <v>198</v>
      </c>
      <c r="J366" s="15">
        <f ca="1">K366-L366</f>
        <v>138</v>
      </c>
      <c r="K366" s="15">
        <v>172</v>
      </c>
      <c r="L366" s="15">
        <f ca="1">RANDBETWEEN(30,87)</f>
        <v>34</v>
      </c>
      <c r="M366" s="11">
        <f ca="1">(L366/J366)</f>
        <v>0.24637681159420291</v>
      </c>
      <c r="N366" s="18">
        <v>44</v>
      </c>
      <c r="O366" s="18" t="str">
        <f t="shared" ref="O366:O403" ca="1" si="26">IF(F366&lt;H366,"Understocked","Optimal")</f>
        <v>Optimal</v>
      </c>
      <c r="P366" s="11" t="str">
        <f ca="1">RANDBETWEEN(30,76)&amp;"%"</f>
        <v>45%</v>
      </c>
      <c r="Q366" s="18">
        <f>PRODUCT(K366,N366)</f>
        <v>7568</v>
      </c>
    </row>
    <row r="367" spans="1:17" x14ac:dyDescent="0.45">
      <c r="A367" s="6" t="s">
        <v>121</v>
      </c>
      <c r="B367" s="9" t="s">
        <v>116</v>
      </c>
      <c r="C367" s="6" t="s">
        <v>45</v>
      </c>
      <c r="D367" s="18">
        <f ca="1">RANDBETWEEN(500,1000)</f>
        <v>750</v>
      </c>
      <c r="E367" s="19">
        <v>45349</v>
      </c>
      <c r="F367" s="18">
        <v>84</v>
      </c>
      <c r="G367" s="20">
        <v>0.73</v>
      </c>
      <c r="H367" s="18">
        <f t="shared" ca="1" si="24"/>
        <v>54</v>
      </c>
      <c r="I367" s="18">
        <f t="shared" ca="1" si="25"/>
        <v>154</v>
      </c>
      <c r="J367" s="15">
        <f ca="1">K367-L367</f>
        <v>363</v>
      </c>
      <c r="K367" s="15">
        <v>430</v>
      </c>
      <c r="L367" s="15">
        <f ca="1">RANDBETWEEN(30,87)</f>
        <v>67</v>
      </c>
      <c r="M367" s="11">
        <f ca="1">(L367/J367)</f>
        <v>0.18457300275482094</v>
      </c>
      <c r="N367" s="18">
        <v>46</v>
      </c>
      <c r="O367" s="18" t="str">
        <f t="shared" ca="1" si="26"/>
        <v>Optimal</v>
      </c>
      <c r="P367" s="11" t="str">
        <f ca="1">RANDBETWEEN(30,76)&amp;"%"</f>
        <v>45%</v>
      </c>
      <c r="Q367" s="18">
        <f>PRODUCT(K367,N367)</f>
        <v>19780</v>
      </c>
    </row>
    <row r="368" spans="1:17" x14ac:dyDescent="0.45">
      <c r="A368" s="6" t="s">
        <v>122</v>
      </c>
      <c r="B368" s="9" t="s">
        <v>116</v>
      </c>
      <c r="C368" s="6" t="s">
        <v>45</v>
      </c>
      <c r="D368" s="18">
        <f ca="1">RANDBETWEEN(500,1000)</f>
        <v>640</v>
      </c>
      <c r="E368" s="19">
        <v>45413</v>
      </c>
      <c r="F368" s="18">
        <v>49</v>
      </c>
      <c r="G368" s="20">
        <v>0.56999999999999995</v>
      </c>
      <c r="H368" s="18">
        <f t="shared" ca="1" si="24"/>
        <v>58</v>
      </c>
      <c r="I368" s="18">
        <f t="shared" ca="1" si="25"/>
        <v>79</v>
      </c>
      <c r="J368" s="15">
        <f ca="1">K368-L368</f>
        <v>63</v>
      </c>
      <c r="K368" s="15">
        <v>129</v>
      </c>
      <c r="L368" s="15">
        <f ca="1">RANDBETWEEN(30,87)</f>
        <v>66</v>
      </c>
      <c r="M368" s="11">
        <f ca="1">(L368/J368)</f>
        <v>1.0476190476190477</v>
      </c>
      <c r="N368" s="18">
        <v>52</v>
      </c>
      <c r="O368" s="18" t="str">
        <f t="shared" ca="1" si="26"/>
        <v>Understocked</v>
      </c>
      <c r="P368" s="11" t="str">
        <f ca="1">RANDBETWEEN(30,76)&amp;"%"</f>
        <v>39%</v>
      </c>
      <c r="Q368" s="18">
        <f>PRODUCT(K368,N368)</f>
        <v>6708</v>
      </c>
    </row>
    <row r="369" spans="1:17" x14ac:dyDescent="0.45">
      <c r="A369" s="6" t="s">
        <v>124</v>
      </c>
      <c r="B369" s="9" t="s">
        <v>116</v>
      </c>
      <c r="C369" s="6" t="s">
        <v>45</v>
      </c>
      <c r="D369" s="18">
        <f ca="1">RANDBETWEEN(500,1000)</f>
        <v>741</v>
      </c>
      <c r="E369" s="19">
        <v>45357</v>
      </c>
      <c r="F369" s="18">
        <v>98</v>
      </c>
      <c r="G369" s="20">
        <v>0.4</v>
      </c>
      <c r="H369" s="18">
        <f t="shared" ca="1" si="24"/>
        <v>59</v>
      </c>
      <c r="I369" s="18">
        <f t="shared" ca="1" si="25"/>
        <v>159</v>
      </c>
      <c r="J369" s="15">
        <f ca="1">K369-L369</f>
        <v>368.5</v>
      </c>
      <c r="K369" s="15">
        <v>408.5</v>
      </c>
      <c r="L369" s="15">
        <f ca="1">RANDBETWEEN(30,87)</f>
        <v>40</v>
      </c>
      <c r="M369" s="11">
        <f ca="1">(L369/J369)</f>
        <v>0.10854816824966079</v>
      </c>
      <c r="N369" s="18">
        <v>86</v>
      </c>
      <c r="O369" s="18" t="str">
        <f t="shared" ca="1" si="26"/>
        <v>Optimal</v>
      </c>
      <c r="P369" s="11" t="str">
        <f ca="1">RANDBETWEEN(30,76)&amp;"%"</f>
        <v>37%</v>
      </c>
      <c r="Q369" s="18">
        <f>PRODUCT(K369,N369)</f>
        <v>35131</v>
      </c>
    </row>
    <row r="370" spans="1:17" x14ac:dyDescent="0.45">
      <c r="A370" s="6" t="s">
        <v>125</v>
      </c>
      <c r="B370" s="9" t="s">
        <v>116</v>
      </c>
      <c r="C370" s="6" t="s">
        <v>45</v>
      </c>
      <c r="D370" s="18">
        <f ca="1">RANDBETWEEN(500,1000)</f>
        <v>938</v>
      </c>
      <c r="E370" s="19">
        <v>45710</v>
      </c>
      <c r="F370" s="18">
        <v>90</v>
      </c>
      <c r="G370" s="20">
        <v>0.64</v>
      </c>
      <c r="H370" s="18">
        <f t="shared" ca="1" si="24"/>
        <v>61</v>
      </c>
      <c r="I370" s="18">
        <f t="shared" ca="1" si="25"/>
        <v>160</v>
      </c>
      <c r="J370" s="15">
        <f ca="1">K370-L370</f>
        <v>817</v>
      </c>
      <c r="K370" s="15">
        <v>860</v>
      </c>
      <c r="L370" s="15">
        <f ca="1">RANDBETWEEN(30,87)</f>
        <v>43</v>
      </c>
      <c r="M370" s="11">
        <f ca="1">(L370/J370)</f>
        <v>5.2631578947368418E-2</v>
      </c>
      <c r="N370" s="18">
        <v>81</v>
      </c>
      <c r="O370" s="18" t="str">
        <f t="shared" ca="1" si="26"/>
        <v>Optimal</v>
      </c>
      <c r="P370" s="11" t="str">
        <f ca="1">RANDBETWEEN(30,76)&amp;"%"</f>
        <v>42%</v>
      </c>
      <c r="Q370" s="18">
        <f>PRODUCT(K370,N370)</f>
        <v>69660</v>
      </c>
    </row>
    <row r="371" spans="1:17" x14ac:dyDescent="0.45">
      <c r="A371" s="6" t="s">
        <v>126</v>
      </c>
      <c r="B371" s="9" t="s">
        <v>116</v>
      </c>
      <c r="C371" s="6" t="s">
        <v>45</v>
      </c>
      <c r="D371" s="18">
        <f ca="1">RANDBETWEEN(500,1000)</f>
        <v>649</v>
      </c>
      <c r="E371" s="19">
        <v>45473</v>
      </c>
      <c r="F371" s="18">
        <v>50</v>
      </c>
      <c r="G371" s="20">
        <v>0.85</v>
      </c>
      <c r="H371" s="18">
        <f t="shared" ca="1" si="24"/>
        <v>51</v>
      </c>
      <c r="I371" s="18">
        <f t="shared" ca="1" si="25"/>
        <v>145</v>
      </c>
      <c r="J371" s="15">
        <f ca="1">K371-L371</f>
        <v>387</v>
      </c>
      <c r="K371" s="15">
        <v>430</v>
      </c>
      <c r="L371" s="15">
        <f ca="1">RANDBETWEEN(30,87)</f>
        <v>43</v>
      </c>
      <c r="M371" s="11">
        <f ca="1">(L371/J371)</f>
        <v>0.1111111111111111</v>
      </c>
      <c r="N371" s="18">
        <v>69</v>
      </c>
      <c r="O371" s="18" t="str">
        <f t="shared" ca="1" si="26"/>
        <v>Understocked</v>
      </c>
      <c r="P371" s="11" t="str">
        <f ca="1">RANDBETWEEN(30,76)&amp;"%"</f>
        <v>57%</v>
      </c>
      <c r="Q371" s="18">
        <f>PRODUCT(K371,N371)</f>
        <v>29670</v>
      </c>
    </row>
    <row r="372" spans="1:17" x14ac:dyDescent="0.45">
      <c r="A372" s="6" t="s">
        <v>127</v>
      </c>
      <c r="B372" s="9" t="s">
        <v>116</v>
      </c>
      <c r="C372" s="6" t="s">
        <v>45</v>
      </c>
      <c r="D372" s="18">
        <f ca="1">RANDBETWEEN(500,1000)</f>
        <v>997</v>
      </c>
      <c r="E372" s="19">
        <v>45500</v>
      </c>
      <c r="F372" s="18">
        <v>70</v>
      </c>
      <c r="G372" s="20">
        <v>0.6</v>
      </c>
      <c r="H372" s="18">
        <f t="shared" ca="1" si="24"/>
        <v>65</v>
      </c>
      <c r="I372" s="18">
        <f t="shared" ca="1" si="25"/>
        <v>84</v>
      </c>
      <c r="J372" s="15">
        <f ca="1">K372-L372</f>
        <v>475.79999999999995</v>
      </c>
      <c r="K372" s="15">
        <v>541.79999999999995</v>
      </c>
      <c r="L372" s="15">
        <f ca="1">RANDBETWEEN(30,87)</f>
        <v>66</v>
      </c>
      <c r="M372" s="11">
        <f ca="1">(L372/J372)</f>
        <v>0.13871374527112235</v>
      </c>
      <c r="N372" s="18">
        <v>23</v>
      </c>
      <c r="O372" s="18" t="str">
        <f t="shared" ca="1" si="26"/>
        <v>Optimal</v>
      </c>
      <c r="P372" s="11" t="str">
        <f ca="1">RANDBETWEEN(30,76)&amp;"%"</f>
        <v>37%</v>
      </c>
      <c r="Q372" s="18">
        <f>PRODUCT(K372,N372)</f>
        <v>12461.4</v>
      </c>
    </row>
    <row r="373" spans="1:17" x14ac:dyDescent="0.45">
      <c r="A373" s="6" t="s">
        <v>160</v>
      </c>
      <c r="B373" s="9" t="s">
        <v>161</v>
      </c>
      <c r="C373" s="6" t="s">
        <v>45</v>
      </c>
      <c r="D373" s="18">
        <f ca="1">RANDBETWEEN(500,1000)</f>
        <v>833</v>
      </c>
      <c r="E373" s="19">
        <v>45448</v>
      </c>
      <c r="F373" s="18">
        <v>87</v>
      </c>
      <c r="G373" s="20">
        <v>0.85</v>
      </c>
      <c r="H373" s="18">
        <f t="shared" ca="1" si="24"/>
        <v>56</v>
      </c>
      <c r="I373" s="18">
        <f t="shared" ca="1" si="25"/>
        <v>153</v>
      </c>
      <c r="J373" s="15">
        <f ca="1">K373-L373</f>
        <v>377</v>
      </c>
      <c r="K373" s="15">
        <v>430</v>
      </c>
      <c r="L373" s="15">
        <f ca="1">RANDBETWEEN(30,87)</f>
        <v>53</v>
      </c>
      <c r="M373" s="11">
        <f ca="1">(L373/J373)</f>
        <v>0.14058355437665782</v>
      </c>
      <c r="N373" s="18">
        <v>55</v>
      </c>
      <c r="O373" s="18" t="str">
        <f t="shared" ca="1" si="26"/>
        <v>Optimal</v>
      </c>
      <c r="P373" s="11" t="str">
        <f ca="1">RANDBETWEEN(30,76)&amp;"%"</f>
        <v>60%</v>
      </c>
      <c r="Q373" s="18">
        <f>PRODUCT(K373,N373)</f>
        <v>23650</v>
      </c>
    </row>
    <row r="374" spans="1:17" x14ac:dyDescent="0.45">
      <c r="A374" s="6" t="s">
        <v>162</v>
      </c>
      <c r="B374" s="9" t="s">
        <v>161</v>
      </c>
      <c r="C374" s="6" t="s">
        <v>45</v>
      </c>
      <c r="D374" s="18">
        <f ca="1">RANDBETWEEN(500,1000)</f>
        <v>988</v>
      </c>
      <c r="E374" s="19">
        <v>45478</v>
      </c>
      <c r="F374" s="18">
        <v>42</v>
      </c>
      <c r="G374" s="20">
        <v>0.3</v>
      </c>
      <c r="H374" s="18">
        <f t="shared" ca="1" si="24"/>
        <v>79</v>
      </c>
      <c r="I374" s="18">
        <f t="shared" ca="1" si="25"/>
        <v>163</v>
      </c>
      <c r="J374" s="15">
        <f ca="1">K374-L374</f>
        <v>43</v>
      </c>
      <c r="K374" s="15">
        <v>86</v>
      </c>
      <c r="L374" s="15">
        <f ca="1">RANDBETWEEN(30,87)</f>
        <v>43</v>
      </c>
      <c r="M374" s="11">
        <f ca="1">(L374/J374)</f>
        <v>1</v>
      </c>
      <c r="N374" s="18">
        <v>37</v>
      </c>
      <c r="O374" s="18" t="str">
        <f t="shared" ca="1" si="26"/>
        <v>Understocked</v>
      </c>
      <c r="P374" s="11" t="str">
        <f ca="1">RANDBETWEEN(30,76)&amp;"%"</f>
        <v>73%</v>
      </c>
      <c r="Q374" s="18">
        <f>PRODUCT(K374,N374)</f>
        <v>3182</v>
      </c>
    </row>
    <row r="375" spans="1:17" x14ac:dyDescent="0.45">
      <c r="A375" s="6" t="s">
        <v>163</v>
      </c>
      <c r="B375" s="9" t="s">
        <v>161</v>
      </c>
      <c r="C375" s="6" t="s">
        <v>45</v>
      </c>
      <c r="D375" s="18">
        <f ca="1">RANDBETWEEN(500,1000)</f>
        <v>550</v>
      </c>
      <c r="E375" s="19">
        <v>45487</v>
      </c>
      <c r="F375" s="18">
        <v>23</v>
      </c>
      <c r="G375" s="20">
        <v>0.65</v>
      </c>
      <c r="H375" s="18">
        <f t="shared" ca="1" si="24"/>
        <v>78</v>
      </c>
      <c r="I375" s="18">
        <f t="shared" ca="1" si="25"/>
        <v>180</v>
      </c>
      <c r="J375" s="15">
        <f ca="1">K375-L375</f>
        <v>155.70000000000002</v>
      </c>
      <c r="K375" s="15">
        <v>210.70000000000002</v>
      </c>
      <c r="L375" s="15">
        <f ca="1">RANDBETWEEN(30,87)</f>
        <v>55</v>
      </c>
      <c r="M375" s="11">
        <f ca="1">(L375/J375)</f>
        <v>0.35324341682723182</v>
      </c>
      <c r="N375" s="18">
        <v>40</v>
      </c>
      <c r="O375" s="18" t="str">
        <f t="shared" ca="1" si="26"/>
        <v>Understocked</v>
      </c>
      <c r="P375" s="11" t="str">
        <f ca="1">RANDBETWEEN(30,76)&amp;"%"</f>
        <v>54%</v>
      </c>
      <c r="Q375" s="18">
        <f>PRODUCT(K375,N375)</f>
        <v>8428</v>
      </c>
    </row>
    <row r="376" spans="1:17" x14ac:dyDescent="0.45">
      <c r="A376" s="6" t="s">
        <v>165</v>
      </c>
      <c r="B376" s="9" t="s">
        <v>161</v>
      </c>
      <c r="C376" s="6" t="s">
        <v>45</v>
      </c>
      <c r="D376" s="18">
        <f ca="1">RANDBETWEEN(500,1000)</f>
        <v>525</v>
      </c>
      <c r="E376" s="19">
        <v>45465</v>
      </c>
      <c r="F376" s="18">
        <v>66</v>
      </c>
      <c r="G376" s="20">
        <v>0.48</v>
      </c>
      <c r="H376" s="18">
        <f t="shared" ca="1" si="24"/>
        <v>74</v>
      </c>
      <c r="I376" s="18">
        <f t="shared" ca="1" si="25"/>
        <v>168</v>
      </c>
      <c r="J376" s="15">
        <f ca="1">K376-L376</f>
        <v>397</v>
      </c>
      <c r="K376" s="15">
        <v>430</v>
      </c>
      <c r="L376" s="15">
        <f ca="1">RANDBETWEEN(30,87)</f>
        <v>33</v>
      </c>
      <c r="M376" s="11">
        <f ca="1">(L376/J376)</f>
        <v>8.3123425692695208E-2</v>
      </c>
      <c r="N376" s="18">
        <v>24</v>
      </c>
      <c r="O376" s="18" t="str">
        <f t="shared" ca="1" si="26"/>
        <v>Understocked</v>
      </c>
      <c r="P376" s="11" t="str">
        <f ca="1">RANDBETWEEN(30,76)&amp;"%"</f>
        <v>43%</v>
      </c>
      <c r="Q376" s="18">
        <f>PRODUCT(K376,N376)</f>
        <v>10320</v>
      </c>
    </row>
    <row r="377" spans="1:17" x14ac:dyDescent="0.45">
      <c r="A377" s="6" t="s">
        <v>166</v>
      </c>
      <c r="B377" s="9" t="s">
        <v>161</v>
      </c>
      <c r="C377" s="6" t="s">
        <v>45</v>
      </c>
      <c r="D377" s="18">
        <f ca="1">RANDBETWEEN(500,1000)</f>
        <v>612</v>
      </c>
      <c r="E377" s="19">
        <v>45614</v>
      </c>
      <c r="F377" s="18">
        <v>28</v>
      </c>
      <c r="G377" s="20">
        <v>0.44</v>
      </c>
      <c r="H377" s="18">
        <f t="shared" ca="1" si="24"/>
        <v>56</v>
      </c>
      <c r="I377" s="18">
        <f t="shared" ca="1" si="25"/>
        <v>116</v>
      </c>
      <c r="J377" s="15">
        <f ca="1">K377-L377</f>
        <v>447</v>
      </c>
      <c r="K377" s="15">
        <v>516</v>
      </c>
      <c r="L377" s="15">
        <f ca="1">RANDBETWEEN(30,87)</f>
        <v>69</v>
      </c>
      <c r="M377" s="11">
        <f ca="1">(L377/J377)</f>
        <v>0.15436241610738255</v>
      </c>
      <c r="N377" s="18">
        <v>48</v>
      </c>
      <c r="O377" s="18" t="str">
        <f t="shared" ca="1" si="26"/>
        <v>Understocked</v>
      </c>
      <c r="P377" s="11" t="str">
        <f ca="1">RANDBETWEEN(30,76)&amp;"%"</f>
        <v>73%</v>
      </c>
      <c r="Q377" s="18">
        <f>PRODUCT(K377,N377)</f>
        <v>24768</v>
      </c>
    </row>
    <row r="378" spans="1:17" x14ac:dyDescent="0.45">
      <c r="A378" s="6" t="s">
        <v>167</v>
      </c>
      <c r="B378" s="9" t="s">
        <v>161</v>
      </c>
      <c r="C378" s="6" t="s">
        <v>45</v>
      </c>
      <c r="D378" s="18">
        <f ca="1">RANDBETWEEN(500,1000)</f>
        <v>953</v>
      </c>
      <c r="E378" s="19">
        <v>45454</v>
      </c>
      <c r="F378" s="18">
        <v>40</v>
      </c>
      <c r="G378" s="20">
        <v>0.71</v>
      </c>
      <c r="H378" s="18">
        <f t="shared" ca="1" si="24"/>
        <v>54</v>
      </c>
      <c r="I378" s="18">
        <f t="shared" ca="1" si="25"/>
        <v>140</v>
      </c>
      <c r="J378" s="15">
        <f ca="1">K378-L378</f>
        <v>100</v>
      </c>
      <c r="K378" s="15">
        <v>172</v>
      </c>
      <c r="L378" s="15">
        <f ca="1">RANDBETWEEN(30,87)</f>
        <v>72</v>
      </c>
      <c r="M378" s="11">
        <f ca="1">(L378/J378)</f>
        <v>0.72</v>
      </c>
      <c r="N378" s="18">
        <v>76</v>
      </c>
      <c r="O378" s="18" t="str">
        <f t="shared" ca="1" si="26"/>
        <v>Understocked</v>
      </c>
      <c r="P378" s="11" t="str">
        <f ca="1">RANDBETWEEN(30,76)&amp;"%"</f>
        <v>71%</v>
      </c>
      <c r="Q378" s="18">
        <f>PRODUCT(K378,N378)</f>
        <v>13072</v>
      </c>
    </row>
    <row r="379" spans="1:17" x14ac:dyDescent="0.45">
      <c r="A379" s="6" t="s">
        <v>168</v>
      </c>
      <c r="B379" s="9" t="s">
        <v>161</v>
      </c>
      <c r="C379" s="6" t="s">
        <v>45</v>
      </c>
      <c r="D379" s="18">
        <f ca="1">RANDBETWEEN(500,1000)</f>
        <v>937</v>
      </c>
      <c r="E379" s="19">
        <v>45539</v>
      </c>
      <c r="F379" s="18">
        <v>53</v>
      </c>
      <c r="G379" s="20">
        <v>0.45</v>
      </c>
      <c r="H379" s="18">
        <f t="shared" ca="1" si="24"/>
        <v>73</v>
      </c>
      <c r="I379" s="18">
        <f t="shared" ca="1" si="25"/>
        <v>189</v>
      </c>
      <c r="J379" s="15">
        <f ca="1">K379-L379</f>
        <v>814</v>
      </c>
      <c r="K379" s="15">
        <v>860</v>
      </c>
      <c r="L379" s="15">
        <f ca="1">RANDBETWEEN(30,87)</f>
        <v>46</v>
      </c>
      <c r="M379" s="11">
        <f ca="1">(L379/J379)</f>
        <v>5.6511056511056514E-2</v>
      </c>
      <c r="N379" s="18">
        <v>55</v>
      </c>
      <c r="O379" s="18" t="str">
        <f t="shared" ca="1" si="26"/>
        <v>Understocked</v>
      </c>
      <c r="P379" s="11" t="str">
        <f ca="1">RANDBETWEEN(30,76)&amp;"%"</f>
        <v>34%</v>
      </c>
      <c r="Q379" s="18">
        <f>PRODUCT(K379,N379)</f>
        <v>47300</v>
      </c>
    </row>
    <row r="380" spans="1:17" x14ac:dyDescent="0.45">
      <c r="A380" s="6" t="s">
        <v>189</v>
      </c>
      <c r="B380" s="9" t="s">
        <v>190</v>
      </c>
      <c r="C380" s="6" t="s">
        <v>45</v>
      </c>
      <c r="D380" s="18">
        <f ca="1">RANDBETWEEN(500,1000)</f>
        <v>596</v>
      </c>
      <c r="E380" s="19">
        <v>45526</v>
      </c>
      <c r="F380" s="18">
        <v>35</v>
      </c>
      <c r="G380" s="20">
        <v>0.86</v>
      </c>
      <c r="H380" s="18">
        <f t="shared" ca="1" si="24"/>
        <v>71</v>
      </c>
      <c r="I380" s="18">
        <f t="shared" ca="1" si="25"/>
        <v>76</v>
      </c>
      <c r="J380" s="15">
        <f ca="1">K380-L380</f>
        <v>157</v>
      </c>
      <c r="K380" s="15">
        <v>215</v>
      </c>
      <c r="L380" s="15">
        <f ca="1">RANDBETWEEN(30,87)</f>
        <v>58</v>
      </c>
      <c r="M380" s="11">
        <f ca="1">(L380/J380)</f>
        <v>0.36942675159235666</v>
      </c>
      <c r="N380" s="18">
        <v>90</v>
      </c>
      <c r="O380" s="18" t="str">
        <f t="shared" ca="1" si="26"/>
        <v>Understocked</v>
      </c>
      <c r="P380" s="11" t="str">
        <f ca="1">RANDBETWEEN(30,76)&amp;"%"</f>
        <v>31%</v>
      </c>
      <c r="Q380" s="18">
        <f>PRODUCT(K380,N380)</f>
        <v>19350</v>
      </c>
    </row>
    <row r="381" spans="1:17" x14ac:dyDescent="0.45">
      <c r="A381" s="6" t="s">
        <v>191</v>
      </c>
      <c r="B381" s="9" t="s">
        <v>190</v>
      </c>
      <c r="C381" s="6" t="s">
        <v>45</v>
      </c>
      <c r="D381" s="18">
        <f ca="1">RANDBETWEEN(500,1000)</f>
        <v>920</v>
      </c>
      <c r="E381" s="19">
        <v>45418</v>
      </c>
      <c r="F381" s="18">
        <v>79</v>
      </c>
      <c r="G381" s="20">
        <v>0.56999999999999995</v>
      </c>
      <c r="H381" s="18">
        <f t="shared" ca="1" si="24"/>
        <v>79</v>
      </c>
      <c r="I381" s="18">
        <f t="shared" ca="1" si="25"/>
        <v>80</v>
      </c>
      <c r="J381" s="15">
        <f ca="1">K381-L381</f>
        <v>360</v>
      </c>
      <c r="K381" s="15">
        <v>430</v>
      </c>
      <c r="L381" s="15">
        <f ca="1">RANDBETWEEN(30,87)</f>
        <v>70</v>
      </c>
      <c r="M381" s="11">
        <f ca="1">(L381/J381)</f>
        <v>0.19444444444444445</v>
      </c>
      <c r="N381" s="18">
        <v>67</v>
      </c>
      <c r="O381" s="18" t="str">
        <f t="shared" ca="1" si="26"/>
        <v>Optimal</v>
      </c>
      <c r="P381" s="11" t="str">
        <f ca="1">RANDBETWEEN(30,76)&amp;"%"</f>
        <v>43%</v>
      </c>
      <c r="Q381" s="18">
        <f>PRODUCT(K381,N381)</f>
        <v>28810</v>
      </c>
    </row>
    <row r="382" spans="1:17" x14ac:dyDescent="0.45">
      <c r="A382" s="6" t="s">
        <v>192</v>
      </c>
      <c r="B382" s="9" t="s">
        <v>190</v>
      </c>
      <c r="C382" s="6" t="s">
        <v>45</v>
      </c>
      <c r="D382" s="18">
        <f ca="1">RANDBETWEEN(500,1000)</f>
        <v>581</v>
      </c>
      <c r="E382" s="19">
        <v>45700</v>
      </c>
      <c r="F382" s="18">
        <v>89</v>
      </c>
      <c r="G382" s="20">
        <v>0.82</v>
      </c>
      <c r="H382" s="18">
        <f t="shared" ca="1" si="24"/>
        <v>74</v>
      </c>
      <c r="I382" s="18">
        <f t="shared" ca="1" si="25"/>
        <v>153</v>
      </c>
      <c r="J382" s="15">
        <f ca="1">K382-L382</f>
        <v>140.79999999999998</v>
      </c>
      <c r="K382" s="15">
        <v>197.79999999999998</v>
      </c>
      <c r="L382" s="15">
        <f ca="1">RANDBETWEEN(30,87)</f>
        <v>57</v>
      </c>
      <c r="M382" s="11">
        <f ca="1">(L382/J382)</f>
        <v>0.40482954545454553</v>
      </c>
      <c r="N382" s="18">
        <v>93</v>
      </c>
      <c r="O382" s="18" t="str">
        <f t="shared" ca="1" si="26"/>
        <v>Optimal</v>
      </c>
      <c r="P382" s="11" t="str">
        <f ca="1">RANDBETWEEN(30,76)&amp;"%"</f>
        <v>41%</v>
      </c>
      <c r="Q382" s="18">
        <f>PRODUCT(K382,N382)</f>
        <v>18395.399999999998</v>
      </c>
    </row>
    <row r="383" spans="1:17" x14ac:dyDescent="0.45">
      <c r="A383" s="6" t="s">
        <v>193</v>
      </c>
      <c r="B383" s="9" t="s">
        <v>190</v>
      </c>
      <c r="C383" s="6" t="s">
        <v>45</v>
      </c>
      <c r="D383" s="18">
        <f ca="1">RANDBETWEEN(500,1000)</f>
        <v>643</v>
      </c>
      <c r="E383" s="19">
        <v>45634</v>
      </c>
      <c r="F383" s="18">
        <v>31</v>
      </c>
      <c r="G383" s="20">
        <v>0.35</v>
      </c>
      <c r="H383" s="18">
        <f t="shared" ca="1" si="24"/>
        <v>71</v>
      </c>
      <c r="I383" s="18">
        <f t="shared" ca="1" si="25"/>
        <v>172</v>
      </c>
      <c r="J383" s="15">
        <f ca="1">K383-L383</f>
        <v>30</v>
      </c>
      <c r="K383" s="15">
        <v>86</v>
      </c>
      <c r="L383" s="15">
        <f ca="1">RANDBETWEEN(30,87)</f>
        <v>56</v>
      </c>
      <c r="M383" s="11">
        <f ca="1">(L383/J383)</f>
        <v>1.8666666666666667</v>
      </c>
      <c r="N383" s="18">
        <v>69</v>
      </c>
      <c r="O383" s="18" t="str">
        <f t="shared" ca="1" si="26"/>
        <v>Understocked</v>
      </c>
      <c r="P383" s="11" t="str">
        <f ca="1">RANDBETWEEN(30,76)&amp;"%"</f>
        <v>68%</v>
      </c>
      <c r="Q383" s="18">
        <f>PRODUCT(K383,N383)</f>
        <v>5934</v>
      </c>
    </row>
    <row r="384" spans="1:17" x14ac:dyDescent="0.45">
      <c r="A384" s="6" t="s">
        <v>194</v>
      </c>
      <c r="B384" s="9" t="s">
        <v>190</v>
      </c>
      <c r="C384" s="6" t="s">
        <v>45</v>
      </c>
      <c r="D384" s="18">
        <f ca="1">RANDBETWEEN(500,1000)</f>
        <v>782</v>
      </c>
      <c r="E384" s="19">
        <v>45671</v>
      </c>
      <c r="F384" s="18">
        <v>30</v>
      </c>
      <c r="G384" s="20">
        <v>0.84</v>
      </c>
      <c r="H384" s="18">
        <f t="shared" ca="1" si="24"/>
        <v>51</v>
      </c>
      <c r="I384" s="18">
        <f t="shared" ca="1" si="25"/>
        <v>85</v>
      </c>
      <c r="J384" s="15">
        <f ca="1">K384-L384</f>
        <v>116.5</v>
      </c>
      <c r="K384" s="15">
        <v>150.5</v>
      </c>
      <c r="L384" s="15">
        <f ca="1">RANDBETWEEN(30,87)</f>
        <v>34</v>
      </c>
      <c r="M384" s="11">
        <f ca="1">(L384/J384)</f>
        <v>0.29184549356223177</v>
      </c>
      <c r="N384" s="18">
        <v>61</v>
      </c>
      <c r="O384" s="18" t="str">
        <f t="shared" ca="1" si="26"/>
        <v>Understocked</v>
      </c>
      <c r="P384" s="11" t="str">
        <f ca="1">RANDBETWEEN(30,76)&amp;"%"</f>
        <v>75%</v>
      </c>
      <c r="Q384" s="18">
        <f>PRODUCT(K384,N384)</f>
        <v>9180.5</v>
      </c>
    </row>
    <row r="385" spans="1:17" x14ac:dyDescent="0.45">
      <c r="A385" s="6" t="s">
        <v>195</v>
      </c>
      <c r="B385" s="9" t="s">
        <v>190</v>
      </c>
      <c r="C385" s="6" t="s">
        <v>45</v>
      </c>
      <c r="D385" s="18">
        <f ca="1">RANDBETWEEN(500,1000)</f>
        <v>993</v>
      </c>
      <c r="E385" s="19">
        <v>45701</v>
      </c>
      <c r="F385" s="18">
        <v>47</v>
      </c>
      <c r="G385" s="20">
        <v>0.38</v>
      </c>
      <c r="H385" s="18">
        <f t="shared" ca="1" si="24"/>
        <v>72</v>
      </c>
      <c r="I385" s="18">
        <f t="shared" ca="1" si="25"/>
        <v>100</v>
      </c>
      <c r="J385" s="15">
        <f ca="1">K385-L385</f>
        <v>306</v>
      </c>
      <c r="K385" s="15">
        <v>387</v>
      </c>
      <c r="L385" s="15">
        <f ca="1">RANDBETWEEN(30,87)</f>
        <v>81</v>
      </c>
      <c r="M385" s="11">
        <f ca="1">(L385/J385)</f>
        <v>0.26470588235294118</v>
      </c>
      <c r="N385" s="18">
        <v>76</v>
      </c>
      <c r="O385" s="18" t="str">
        <f t="shared" ca="1" si="26"/>
        <v>Understocked</v>
      </c>
      <c r="P385" s="11" t="str">
        <f ca="1">RANDBETWEEN(30,76)&amp;"%"</f>
        <v>48%</v>
      </c>
      <c r="Q385" s="18">
        <f>PRODUCT(K385,N385)</f>
        <v>29412</v>
      </c>
    </row>
    <row r="386" spans="1:17" x14ac:dyDescent="0.45">
      <c r="A386" s="6" t="s">
        <v>196</v>
      </c>
      <c r="B386" s="9" t="s">
        <v>190</v>
      </c>
      <c r="C386" s="6" t="s">
        <v>45</v>
      </c>
      <c r="D386" s="18">
        <f ca="1">RANDBETWEEN(500,1000)</f>
        <v>967</v>
      </c>
      <c r="E386" s="19">
        <v>45673</v>
      </c>
      <c r="F386" s="18">
        <v>95</v>
      </c>
      <c r="G386" s="20">
        <v>0.3</v>
      </c>
      <c r="H386" s="18">
        <f t="shared" ca="1" si="24"/>
        <v>53</v>
      </c>
      <c r="I386" s="18">
        <f t="shared" ca="1" si="25"/>
        <v>156</v>
      </c>
      <c r="J386" s="15">
        <f ca="1">K386-L386</f>
        <v>395</v>
      </c>
      <c r="K386" s="15">
        <v>430</v>
      </c>
      <c r="L386" s="15">
        <f ca="1">RANDBETWEEN(30,87)</f>
        <v>35</v>
      </c>
      <c r="M386" s="11">
        <f ca="1">(L386/J386)</f>
        <v>8.8607594936708861E-2</v>
      </c>
      <c r="N386" s="18">
        <v>52</v>
      </c>
      <c r="O386" s="18" t="str">
        <f t="shared" ca="1" si="26"/>
        <v>Optimal</v>
      </c>
      <c r="P386" s="11" t="str">
        <f ca="1">RANDBETWEEN(30,76)&amp;"%"</f>
        <v>46%</v>
      </c>
      <c r="Q386" s="18">
        <f>PRODUCT(K386,N386)</f>
        <v>22360</v>
      </c>
    </row>
    <row r="387" spans="1:17" x14ac:dyDescent="0.45">
      <c r="A387" s="6" t="s">
        <v>197</v>
      </c>
      <c r="B387" s="9" t="s">
        <v>190</v>
      </c>
      <c r="C387" s="6" t="s">
        <v>45</v>
      </c>
      <c r="D387" s="18">
        <f ca="1">RANDBETWEEN(500,1000)</f>
        <v>962</v>
      </c>
      <c r="E387" s="19">
        <v>45694</v>
      </c>
      <c r="F387" s="18">
        <v>40</v>
      </c>
      <c r="G387" s="20">
        <v>0.81</v>
      </c>
      <c r="H387" s="18">
        <f t="shared" ca="1" si="24"/>
        <v>74</v>
      </c>
      <c r="I387" s="18">
        <f t="shared" ca="1" si="25"/>
        <v>124</v>
      </c>
      <c r="J387" s="15">
        <f ca="1">K387-L387</f>
        <v>162</v>
      </c>
      <c r="K387" s="15">
        <v>215</v>
      </c>
      <c r="L387" s="15">
        <f ca="1">RANDBETWEEN(30,87)</f>
        <v>53</v>
      </c>
      <c r="M387" s="11">
        <f ca="1">(L387/J387)</f>
        <v>0.3271604938271605</v>
      </c>
      <c r="N387" s="18">
        <v>86</v>
      </c>
      <c r="O387" s="18" t="str">
        <f t="shared" ca="1" si="26"/>
        <v>Understocked</v>
      </c>
      <c r="P387" s="11" t="str">
        <f ca="1">RANDBETWEEN(30,76)&amp;"%"</f>
        <v>50%</v>
      </c>
      <c r="Q387" s="18">
        <f>PRODUCT(K387,N387)</f>
        <v>18490</v>
      </c>
    </row>
    <row r="388" spans="1:17" x14ac:dyDescent="0.45">
      <c r="A388" s="6" t="s">
        <v>198</v>
      </c>
      <c r="B388" s="9" t="s">
        <v>190</v>
      </c>
      <c r="C388" s="6" t="s">
        <v>45</v>
      </c>
      <c r="D388" s="18">
        <f ca="1">RANDBETWEEN(500,1000)</f>
        <v>551</v>
      </c>
      <c r="E388" s="19">
        <v>45588</v>
      </c>
      <c r="F388" s="18">
        <v>85</v>
      </c>
      <c r="G388" s="20">
        <v>0.83</v>
      </c>
      <c r="H388" s="18">
        <f t="shared" ca="1" si="24"/>
        <v>71</v>
      </c>
      <c r="I388" s="18">
        <f t="shared" ca="1" si="25"/>
        <v>144</v>
      </c>
      <c r="J388" s="15">
        <f ca="1">K388-L388</f>
        <v>135</v>
      </c>
      <c r="K388" s="15">
        <v>172</v>
      </c>
      <c r="L388" s="15">
        <f ca="1">RANDBETWEEN(30,87)</f>
        <v>37</v>
      </c>
      <c r="M388" s="11">
        <f ca="1">(L388/J388)</f>
        <v>0.27407407407407408</v>
      </c>
      <c r="N388" s="18">
        <v>85</v>
      </c>
      <c r="O388" s="18" t="str">
        <f t="shared" ca="1" si="26"/>
        <v>Optimal</v>
      </c>
      <c r="P388" s="11" t="str">
        <f ca="1">RANDBETWEEN(30,76)&amp;"%"</f>
        <v>49%</v>
      </c>
      <c r="Q388" s="18">
        <f>PRODUCT(K388,N388)</f>
        <v>14620</v>
      </c>
    </row>
    <row r="389" spans="1:17" x14ac:dyDescent="0.45">
      <c r="A389" s="6" t="s">
        <v>199</v>
      </c>
      <c r="B389" s="9" t="s">
        <v>190</v>
      </c>
      <c r="C389" s="6" t="s">
        <v>45</v>
      </c>
      <c r="D389" s="18">
        <f ca="1">RANDBETWEEN(500,1000)</f>
        <v>875</v>
      </c>
      <c r="E389" s="19">
        <v>45672</v>
      </c>
      <c r="F389" s="18">
        <v>73</v>
      </c>
      <c r="G389" s="20">
        <v>0.49</v>
      </c>
      <c r="H389" s="18">
        <f t="shared" ca="1" si="24"/>
        <v>74</v>
      </c>
      <c r="I389" s="18">
        <f t="shared" ca="1" si="25"/>
        <v>191</v>
      </c>
      <c r="J389" s="15">
        <f ca="1">K389-L389</f>
        <v>258</v>
      </c>
      <c r="K389" s="15">
        <v>344</v>
      </c>
      <c r="L389" s="15">
        <f ca="1">RANDBETWEEN(30,87)</f>
        <v>86</v>
      </c>
      <c r="M389" s="11">
        <f ca="1">(L389/J389)</f>
        <v>0.33333333333333331</v>
      </c>
      <c r="N389" s="18">
        <v>47</v>
      </c>
      <c r="O389" s="18" t="str">
        <f t="shared" ca="1" si="26"/>
        <v>Understocked</v>
      </c>
      <c r="P389" s="11" t="str">
        <f ca="1">RANDBETWEEN(30,76)&amp;"%"</f>
        <v>60%</v>
      </c>
      <c r="Q389" s="18">
        <f>PRODUCT(K389,N389)</f>
        <v>16168</v>
      </c>
    </row>
    <row r="390" spans="1:17" x14ac:dyDescent="0.45">
      <c r="A390" s="6" t="s">
        <v>233</v>
      </c>
      <c r="B390" s="9" t="s">
        <v>234</v>
      </c>
      <c r="C390" s="6" t="s">
        <v>45</v>
      </c>
      <c r="D390" s="18">
        <f ca="1">RANDBETWEEN(500,1000)</f>
        <v>997</v>
      </c>
      <c r="E390" s="19">
        <v>45589</v>
      </c>
      <c r="F390" s="18">
        <v>94</v>
      </c>
      <c r="G390" s="20">
        <v>0.42</v>
      </c>
      <c r="H390" s="18">
        <f t="shared" ca="1" si="24"/>
        <v>57</v>
      </c>
      <c r="I390" s="18">
        <f t="shared" ca="1" si="25"/>
        <v>107</v>
      </c>
      <c r="J390" s="15">
        <f ca="1">K390-L390</f>
        <v>208.2</v>
      </c>
      <c r="K390" s="15">
        <v>275.2</v>
      </c>
      <c r="L390" s="15">
        <f ca="1">RANDBETWEEN(30,87)</f>
        <v>67</v>
      </c>
      <c r="M390" s="11">
        <f ca="1">(L390/J390)</f>
        <v>0.3218059558117195</v>
      </c>
      <c r="N390" s="18">
        <v>98</v>
      </c>
      <c r="O390" s="18" t="str">
        <f t="shared" ca="1" si="26"/>
        <v>Optimal</v>
      </c>
      <c r="P390" s="11" t="str">
        <f ca="1">RANDBETWEEN(30,76)&amp;"%"</f>
        <v>42%</v>
      </c>
      <c r="Q390" s="18">
        <f>PRODUCT(K390,N390)</f>
        <v>26969.599999999999</v>
      </c>
    </row>
    <row r="391" spans="1:17" x14ac:dyDescent="0.45">
      <c r="A391" s="6" t="s">
        <v>235</v>
      </c>
      <c r="B391" s="9" t="s">
        <v>234</v>
      </c>
      <c r="C391" s="6" t="s">
        <v>45</v>
      </c>
      <c r="D391" s="18">
        <f ca="1">RANDBETWEEN(500,1000)</f>
        <v>717</v>
      </c>
      <c r="E391" s="19">
        <v>45357</v>
      </c>
      <c r="F391" s="18">
        <v>88</v>
      </c>
      <c r="G391" s="20">
        <v>0.74</v>
      </c>
      <c r="H391" s="18">
        <f t="shared" ca="1" si="24"/>
        <v>70</v>
      </c>
      <c r="I391" s="18">
        <f t="shared" ca="1" si="25"/>
        <v>190</v>
      </c>
      <c r="J391" s="15">
        <f ca="1">K391-L391</f>
        <v>771</v>
      </c>
      <c r="K391" s="15">
        <v>817</v>
      </c>
      <c r="L391" s="15">
        <f ca="1">RANDBETWEEN(30,87)</f>
        <v>46</v>
      </c>
      <c r="M391" s="11">
        <f ca="1">(L391/J391)</f>
        <v>5.9662775616083012E-2</v>
      </c>
      <c r="N391" s="18">
        <v>73</v>
      </c>
      <c r="O391" s="18" t="str">
        <f t="shared" ca="1" si="26"/>
        <v>Optimal</v>
      </c>
      <c r="P391" s="11" t="str">
        <f ca="1">RANDBETWEEN(30,76)&amp;"%"</f>
        <v>57%</v>
      </c>
      <c r="Q391" s="18">
        <f>PRODUCT(K391,N391)</f>
        <v>59641</v>
      </c>
    </row>
    <row r="392" spans="1:17" x14ac:dyDescent="0.45">
      <c r="A392" s="6" t="s">
        <v>236</v>
      </c>
      <c r="B392" s="9" t="s">
        <v>234</v>
      </c>
      <c r="C392" s="6" t="s">
        <v>45</v>
      </c>
      <c r="D392" s="18">
        <f ca="1">RANDBETWEEN(500,1000)</f>
        <v>560</v>
      </c>
      <c r="E392" s="19">
        <v>45456</v>
      </c>
      <c r="F392" s="18">
        <v>12</v>
      </c>
      <c r="G392" s="20">
        <v>0.54</v>
      </c>
      <c r="H392" s="18">
        <f t="shared" ca="1" si="24"/>
        <v>64</v>
      </c>
      <c r="I392" s="18">
        <f t="shared" ca="1" si="25"/>
        <v>100</v>
      </c>
      <c r="J392" s="15">
        <f ca="1">K392-L392</f>
        <v>154.28</v>
      </c>
      <c r="K392" s="15">
        <v>213.28</v>
      </c>
      <c r="L392" s="15">
        <f ca="1">RANDBETWEEN(30,87)</f>
        <v>59</v>
      </c>
      <c r="M392" s="11">
        <f ca="1">(L392/J392)</f>
        <v>0.38242157116930259</v>
      </c>
      <c r="N392" s="18">
        <v>25</v>
      </c>
      <c r="O392" s="18" t="str">
        <f t="shared" ca="1" si="26"/>
        <v>Understocked</v>
      </c>
      <c r="P392" s="11" t="str">
        <f ca="1">RANDBETWEEN(30,76)&amp;"%"</f>
        <v>39%</v>
      </c>
      <c r="Q392" s="18">
        <f>PRODUCT(K392,N392)</f>
        <v>5332</v>
      </c>
    </row>
    <row r="393" spans="1:17" x14ac:dyDescent="0.45">
      <c r="A393" s="6" t="s">
        <v>237</v>
      </c>
      <c r="B393" s="9" t="s">
        <v>234</v>
      </c>
      <c r="C393" s="6" t="s">
        <v>45</v>
      </c>
      <c r="D393" s="18">
        <f ca="1">RANDBETWEEN(500,1000)</f>
        <v>980</v>
      </c>
      <c r="E393" s="19">
        <v>45668</v>
      </c>
      <c r="F393" s="18">
        <v>90</v>
      </c>
      <c r="G393" s="20">
        <v>0.53</v>
      </c>
      <c r="H393" s="18">
        <f t="shared" ca="1" si="24"/>
        <v>69</v>
      </c>
      <c r="I393" s="18">
        <f t="shared" ca="1" si="25"/>
        <v>123</v>
      </c>
      <c r="J393" s="15">
        <f ca="1">K393-L393</f>
        <v>377</v>
      </c>
      <c r="K393" s="15">
        <v>430</v>
      </c>
      <c r="L393" s="15">
        <f ca="1">RANDBETWEEN(30,87)</f>
        <v>53</v>
      </c>
      <c r="M393" s="11">
        <f ca="1">(L393/J393)</f>
        <v>0.14058355437665782</v>
      </c>
      <c r="N393" s="18">
        <v>52</v>
      </c>
      <c r="O393" s="18" t="str">
        <f t="shared" ca="1" si="26"/>
        <v>Optimal</v>
      </c>
      <c r="P393" s="11" t="str">
        <f ca="1">RANDBETWEEN(30,76)&amp;"%"</f>
        <v>61%</v>
      </c>
      <c r="Q393" s="18">
        <f>PRODUCT(K393,N393)</f>
        <v>22360</v>
      </c>
    </row>
    <row r="394" spans="1:17" x14ac:dyDescent="0.45">
      <c r="A394" s="6" t="s">
        <v>240</v>
      </c>
      <c r="B394" s="9" t="s">
        <v>234</v>
      </c>
      <c r="C394" s="6" t="s">
        <v>45</v>
      </c>
      <c r="D394" s="18">
        <f ca="1">RANDBETWEEN(500,1000)</f>
        <v>525</v>
      </c>
      <c r="E394" s="19">
        <v>45601</v>
      </c>
      <c r="F394" s="18">
        <v>83</v>
      </c>
      <c r="G394" s="20">
        <v>0.33</v>
      </c>
      <c r="H394" s="18">
        <f t="shared" ca="1" si="24"/>
        <v>55</v>
      </c>
      <c r="I394" s="18">
        <f t="shared" ca="1" si="25"/>
        <v>142</v>
      </c>
      <c r="J394" s="15">
        <f ca="1">K394-L394</f>
        <v>106.80000000000001</v>
      </c>
      <c r="K394" s="15">
        <v>154.80000000000001</v>
      </c>
      <c r="L394" s="15">
        <f ca="1">RANDBETWEEN(30,87)</f>
        <v>48</v>
      </c>
      <c r="M394" s="11">
        <f ca="1">(L394/J394)</f>
        <v>0.44943820224719094</v>
      </c>
      <c r="N394" s="18">
        <v>35</v>
      </c>
      <c r="O394" s="18" t="str">
        <f t="shared" ca="1" si="26"/>
        <v>Optimal</v>
      </c>
      <c r="P394" s="11" t="str">
        <f ca="1">RANDBETWEEN(30,76)&amp;"%"</f>
        <v>65%</v>
      </c>
      <c r="Q394" s="18">
        <f>PRODUCT(K394,N394)</f>
        <v>5418</v>
      </c>
    </row>
    <row r="395" spans="1:17" x14ac:dyDescent="0.45">
      <c r="A395" s="6" t="s">
        <v>241</v>
      </c>
      <c r="B395" s="9" t="s">
        <v>234</v>
      </c>
      <c r="C395" s="6" t="s">
        <v>45</v>
      </c>
      <c r="D395" s="18">
        <f ca="1">RANDBETWEEN(500,1000)</f>
        <v>1000</v>
      </c>
      <c r="E395" s="19">
        <v>45460</v>
      </c>
      <c r="F395" s="18">
        <v>24</v>
      </c>
      <c r="G395" s="20">
        <v>0.57999999999999996</v>
      </c>
      <c r="H395" s="18">
        <f t="shared" ca="1" si="24"/>
        <v>56</v>
      </c>
      <c r="I395" s="18">
        <f t="shared" ca="1" si="25"/>
        <v>182</v>
      </c>
      <c r="J395" s="15">
        <f ca="1">K395-L395</f>
        <v>218</v>
      </c>
      <c r="K395" s="15">
        <v>258</v>
      </c>
      <c r="L395" s="15">
        <f ca="1">RANDBETWEEN(30,87)</f>
        <v>40</v>
      </c>
      <c r="M395" s="11">
        <f ca="1">(L395/J395)</f>
        <v>0.1834862385321101</v>
      </c>
      <c r="N395" s="18">
        <v>55</v>
      </c>
      <c r="O395" s="18" t="str">
        <f t="shared" ca="1" si="26"/>
        <v>Understocked</v>
      </c>
      <c r="P395" s="11" t="str">
        <f ca="1">RANDBETWEEN(30,76)&amp;"%"</f>
        <v>53%</v>
      </c>
      <c r="Q395" s="18">
        <f>PRODUCT(K395,N395)</f>
        <v>14190</v>
      </c>
    </row>
    <row r="396" spans="1:17" x14ac:dyDescent="0.45">
      <c r="A396" s="6" t="s">
        <v>252</v>
      </c>
      <c r="B396" s="9" t="s">
        <v>253</v>
      </c>
      <c r="C396" s="6" t="s">
        <v>45</v>
      </c>
      <c r="D396" s="18">
        <f ca="1">RANDBETWEEN(500,1000)</f>
        <v>878</v>
      </c>
      <c r="E396" s="19">
        <v>45638</v>
      </c>
      <c r="F396" s="18">
        <v>51</v>
      </c>
      <c r="G396" s="20">
        <v>0.62</v>
      </c>
      <c r="H396" s="18">
        <f t="shared" ca="1" si="24"/>
        <v>71</v>
      </c>
      <c r="I396" s="18">
        <f t="shared" ca="1" si="25"/>
        <v>106</v>
      </c>
      <c r="J396" s="15">
        <f ca="1">K396-L396</f>
        <v>331.8</v>
      </c>
      <c r="K396" s="15">
        <v>412.8</v>
      </c>
      <c r="L396" s="15">
        <f ca="1">RANDBETWEEN(30,87)</f>
        <v>81</v>
      </c>
      <c r="M396" s="11">
        <f ca="1">(L396/J396)</f>
        <v>0.24412296564195299</v>
      </c>
      <c r="N396" s="18">
        <v>44</v>
      </c>
      <c r="O396" s="18" t="str">
        <f t="shared" ca="1" si="26"/>
        <v>Understocked</v>
      </c>
      <c r="P396" s="11" t="str">
        <f ca="1">RANDBETWEEN(30,76)&amp;"%"</f>
        <v>75%</v>
      </c>
      <c r="Q396" s="18">
        <f>PRODUCT(K396,N396)</f>
        <v>18163.2</v>
      </c>
    </row>
    <row r="397" spans="1:17" x14ac:dyDescent="0.45">
      <c r="A397" s="6" t="s">
        <v>254</v>
      </c>
      <c r="B397" s="9" t="s">
        <v>253</v>
      </c>
      <c r="C397" s="6" t="s">
        <v>45</v>
      </c>
      <c r="D397" s="18">
        <f ca="1">RANDBETWEEN(500,1000)</f>
        <v>792</v>
      </c>
      <c r="E397" s="19">
        <v>45534</v>
      </c>
      <c r="F397" s="18">
        <v>18</v>
      </c>
      <c r="G397" s="20">
        <v>0.56999999999999995</v>
      </c>
      <c r="H397" s="18">
        <f t="shared" ca="1" si="24"/>
        <v>77</v>
      </c>
      <c r="I397" s="18">
        <f t="shared" ca="1" si="25"/>
        <v>112</v>
      </c>
      <c r="J397" s="15">
        <f ca="1">K397-L397</f>
        <v>321.5</v>
      </c>
      <c r="K397" s="15">
        <v>408.5</v>
      </c>
      <c r="L397" s="15">
        <f ca="1">RANDBETWEEN(30,87)</f>
        <v>87</v>
      </c>
      <c r="M397" s="11">
        <f ca="1">(L397/J397)</f>
        <v>0.27060653188180406</v>
      </c>
      <c r="N397" s="18">
        <v>44</v>
      </c>
      <c r="O397" s="18" t="str">
        <f t="shared" ca="1" si="26"/>
        <v>Understocked</v>
      </c>
      <c r="P397" s="11" t="str">
        <f ca="1">RANDBETWEEN(30,76)&amp;"%"</f>
        <v>63%</v>
      </c>
      <c r="Q397" s="18">
        <f>PRODUCT(K397,N397)</f>
        <v>17974</v>
      </c>
    </row>
    <row r="398" spans="1:17" x14ac:dyDescent="0.45">
      <c r="A398" s="6" t="s">
        <v>255</v>
      </c>
      <c r="B398" s="9" t="s">
        <v>253</v>
      </c>
      <c r="C398" s="6" t="s">
        <v>45</v>
      </c>
      <c r="D398" s="18">
        <f ca="1">RANDBETWEEN(500,1000)</f>
        <v>889</v>
      </c>
      <c r="E398" s="19">
        <v>45364</v>
      </c>
      <c r="F398" s="18">
        <v>61</v>
      </c>
      <c r="G398" s="20">
        <v>0.55000000000000004</v>
      </c>
      <c r="H398" s="18">
        <f t="shared" ca="1" si="24"/>
        <v>50</v>
      </c>
      <c r="I398" s="18">
        <f t="shared" ca="1" si="25"/>
        <v>192</v>
      </c>
      <c r="J398" s="15">
        <f ca="1">K398-L398</f>
        <v>100</v>
      </c>
      <c r="K398" s="15">
        <v>172</v>
      </c>
      <c r="L398" s="15">
        <f ca="1">RANDBETWEEN(30,87)</f>
        <v>72</v>
      </c>
      <c r="M398" s="11">
        <f ca="1">(L398/J398)</f>
        <v>0.72</v>
      </c>
      <c r="N398" s="18">
        <v>26</v>
      </c>
      <c r="O398" s="18" t="str">
        <f t="shared" ca="1" si="26"/>
        <v>Optimal</v>
      </c>
      <c r="P398" s="11" t="str">
        <f ca="1">RANDBETWEEN(30,76)&amp;"%"</f>
        <v>55%</v>
      </c>
      <c r="Q398" s="18">
        <f>PRODUCT(K398,N398)</f>
        <v>4472</v>
      </c>
    </row>
    <row r="399" spans="1:17" x14ac:dyDescent="0.45">
      <c r="A399" s="6" t="s">
        <v>256</v>
      </c>
      <c r="B399" s="9" t="s">
        <v>253</v>
      </c>
      <c r="C399" s="6" t="s">
        <v>45</v>
      </c>
      <c r="D399" s="18">
        <f ca="1">RANDBETWEEN(500,1000)</f>
        <v>782</v>
      </c>
      <c r="E399" s="19">
        <v>45633</v>
      </c>
      <c r="F399" s="18">
        <v>92</v>
      </c>
      <c r="G399" s="20">
        <v>0.73</v>
      </c>
      <c r="H399" s="18">
        <f t="shared" ca="1" si="24"/>
        <v>50</v>
      </c>
      <c r="I399" s="18">
        <f t="shared" ca="1" si="25"/>
        <v>143</v>
      </c>
      <c r="J399" s="15">
        <f ca="1">K399-L399</f>
        <v>299</v>
      </c>
      <c r="K399" s="15">
        <v>344</v>
      </c>
      <c r="L399" s="15">
        <f ca="1">RANDBETWEEN(30,87)</f>
        <v>45</v>
      </c>
      <c r="M399" s="11">
        <f ca="1">(L399/J399)</f>
        <v>0.15050167224080269</v>
      </c>
      <c r="N399" s="18">
        <v>30</v>
      </c>
      <c r="O399" s="18" t="str">
        <f t="shared" ca="1" si="26"/>
        <v>Optimal</v>
      </c>
      <c r="P399" s="11" t="str">
        <f ca="1">RANDBETWEEN(30,76)&amp;"%"</f>
        <v>37%</v>
      </c>
      <c r="Q399" s="18">
        <f>PRODUCT(K399,N399)</f>
        <v>10320</v>
      </c>
    </row>
    <row r="400" spans="1:17" x14ac:dyDescent="0.45">
      <c r="A400" s="6" t="s">
        <v>257</v>
      </c>
      <c r="B400" s="9" t="s">
        <v>253</v>
      </c>
      <c r="C400" s="6" t="s">
        <v>45</v>
      </c>
      <c r="D400" s="18">
        <f ca="1">RANDBETWEEN(500,1000)</f>
        <v>928</v>
      </c>
      <c r="E400" s="19">
        <v>45355</v>
      </c>
      <c r="F400" s="18">
        <v>74</v>
      </c>
      <c r="G400" s="20">
        <v>0.49</v>
      </c>
      <c r="H400" s="18">
        <f t="shared" ca="1" si="24"/>
        <v>70</v>
      </c>
      <c r="I400" s="18">
        <f t="shared" ca="1" si="25"/>
        <v>180</v>
      </c>
      <c r="J400" s="15">
        <f ca="1">K400-L400</f>
        <v>221</v>
      </c>
      <c r="K400" s="15">
        <v>301</v>
      </c>
      <c r="L400" s="15">
        <f ca="1">RANDBETWEEN(30,87)</f>
        <v>80</v>
      </c>
      <c r="M400" s="11">
        <f ca="1">(L400/J400)</f>
        <v>0.36199095022624433</v>
      </c>
      <c r="N400" s="18">
        <v>91</v>
      </c>
      <c r="O400" s="18" t="str">
        <f t="shared" ca="1" si="26"/>
        <v>Optimal</v>
      </c>
      <c r="P400" s="11" t="str">
        <f ca="1">RANDBETWEEN(30,76)&amp;"%"</f>
        <v>68%</v>
      </c>
      <c r="Q400" s="18">
        <f>PRODUCT(K400,N400)</f>
        <v>27391</v>
      </c>
    </row>
    <row r="401" spans="1:17" x14ac:dyDescent="0.45">
      <c r="A401" s="6" t="s">
        <v>258</v>
      </c>
      <c r="B401" s="9" t="s">
        <v>253</v>
      </c>
      <c r="C401" s="6" t="s">
        <v>45</v>
      </c>
      <c r="D401" s="18">
        <f ca="1">RANDBETWEEN(500,1000)</f>
        <v>603</v>
      </c>
      <c r="E401" s="19">
        <v>45481</v>
      </c>
      <c r="F401" s="18">
        <v>80</v>
      </c>
      <c r="G401" s="20">
        <v>0.74</v>
      </c>
      <c r="H401" s="18">
        <f t="shared" ca="1" si="24"/>
        <v>66</v>
      </c>
      <c r="I401" s="18">
        <f t="shared" ca="1" si="25"/>
        <v>95</v>
      </c>
      <c r="J401" s="15">
        <f ca="1">K401-L401</f>
        <v>176</v>
      </c>
      <c r="K401" s="15">
        <v>215</v>
      </c>
      <c r="L401" s="15">
        <f ca="1">RANDBETWEEN(30,87)</f>
        <v>39</v>
      </c>
      <c r="M401" s="11">
        <f ca="1">(L401/J401)</f>
        <v>0.22159090909090909</v>
      </c>
      <c r="N401" s="18">
        <v>81</v>
      </c>
      <c r="O401" s="18" t="str">
        <f t="shared" ca="1" si="26"/>
        <v>Optimal</v>
      </c>
      <c r="P401" s="11" t="str">
        <f ca="1">RANDBETWEEN(30,76)&amp;"%"</f>
        <v>76%</v>
      </c>
      <c r="Q401" s="18">
        <f>PRODUCT(K401,N401)</f>
        <v>17415</v>
      </c>
    </row>
    <row r="402" spans="1:17" x14ac:dyDescent="0.45">
      <c r="A402" s="6" t="s">
        <v>259</v>
      </c>
      <c r="B402" s="9" t="s">
        <v>253</v>
      </c>
      <c r="C402" s="6" t="s">
        <v>45</v>
      </c>
      <c r="D402" s="18">
        <f ca="1">RANDBETWEEN(500,1000)</f>
        <v>737</v>
      </c>
      <c r="E402" s="19">
        <v>45617</v>
      </c>
      <c r="F402" s="18">
        <v>67</v>
      </c>
      <c r="G402" s="20">
        <v>0.45</v>
      </c>
      <c r="H402" s="18">
        <f t="shared" ca="1" si="24"/>
        <v>52</v>
      </c>
      <c r="I402" s="18">
        <f t="shared" ca="1" si="25"/>
        <v>91</v>
      </c>
      <c r="J402" s="15">
        <f ca="1">K402-L402</f>
        <v>62</v>
      </c>
      <c r="K402" s="15">
        <v>129</v>
      </c>
      <c r="L402" s="15">
        <f ca="1">RANDBETWEEN(30,87)</f>
        <v>67</v>
      </c>
      <c r="M402" s="11">
        <f ca="1">(L402/J402)</f>
        <v>1.0806451612903225</v>
      </c>
      <c r="N402" s="18">
        <v>67</v>
      </c>
      <c r="O402" s="18" t="str">
        <f t="shared" ca="1" si="26"/>
        <v>Optimal</v>
      </c>
      <c r="P402" s="11" t="str">
        <f ca="1">RANDBETWEEN(30,76)&amp;"%"</f>
        <v>59%</v>
      </c>
      <c r="Q402" s="18">
        <f>PRODUCT(K402,N402)</f>
        <v>8643</v>
      </c>
    </row>
    <row r="403" spans="1:17" x14ac:dyDescent="0.45">
      <c r="A403" s="6" t="s">
        <v>262</v>
      </c>
      <c r="B403" s="9" t="s">
        <v>261</v>
      </c>
      <c r="C403" s="6" t="s">
        <v>45</v>
      </c>
      <c r="D403" s="18">
        <f ca="1">RANDBETWEEN(500,1000)</f>
        <v>629</v>
      </c>
      <c r="E403" s="19">
        <v>45560</v>
      </c>
      <c r="F403" s="18">
        <v>87</v>
      </c>
      <c r="G403" s="20">
        <v>0.65</v>
      </c>
      <c r="H403" s="18">
        <f t="shared" ca="1" si="24"/>
        <v>52</v>
      </c>
      <c r="I403" s="18">
        <f t="shared" ca="1" si="25"/>
        <v>196</v>
      </c>
      <c r="J403" s="15">
        <f ca="1">K403-L403</f>
        <v>416</v>
      </c>
      <c r="K403" s="15">
        <v>473</v>
      </c>
      <c r="L403" s="15">
        <f ca="1">RANDBETWEEN(30,87)</f>
        <v>57</v>
      </c>
      <c r="M403" s="11">
        <f ca="1">(L403/J403)</f>
        <v>0.13701923076923078</v>
      </c>
      <c r="N403" s="18">
        <v>47</v>
      </c>
      <c r="O403" s="18" t="str">
        <f t="shared" ca="1" si="26"/>
        <v>Optimal</v>
      </c>
      <c r="P403" s="11" t="str">
        <f ca="1">RANDBETWEEN(30,76)&amp;"%"</f>
        <v>61%</v>
      </c>
      <c r="Q403" s="18">
        <f>PRODUCT(K403,N403)</f>
        <v>22231</v>
      </c>
    </row>
    <row r="404" spans="1:17" hidden="1" x14ac:dyDescent="0.45">
      <c r="A404" s="6" t="s">
        <v>264</v>
      </c>
      <c r="B404" s="9" t="s">
        <v>261</v>
      </c>
      <c r="C404" s="6" t="s">
        <v>45</v>
      </c>
      <c r="D404" s="18">
        <f ca="1">RANDBETWEEN(8,15)</f>
        <v>9</v>
      </c>
      <c r="E404" s="19">
        <v>45379</v>
      </c>
      <c r="F404" s="18">
        <v>95</v>
      </c>
      <c r="G404" s="20">
        <v>0.68</v>
      </c>
      <c r="H404" s="18">
        <v>66</v>
      </c>
      <c r="I404" s="18">
        <v>69</v>
      </c>
      <c r="J404" s="15">
        <f ca="1">K404-L404</f>
        <v>23.799999999999997</v>
      </c>
      <c r="K404" s="15">
        <v>68.8</v>
      </c>
      <c r="L404" s="15">
        <f ca="1">RANDBETWEEN(30,87)</f>
        <v>45</v>
      </c>
      <c r="M404" s="11">
        <f ca="1">(L404/J404)</f>
        <v>1.8907563025210086</v>
      </c>
      <c r="N404" s="18">
        <v>92</v>
      </c>
      <c r="O404" s="18" t="s">
        <v>15</v>
      </c>
      <c r="P404" s="11" t="str">
        <f ca="1">RANDBETWEEN(30,76)&amp;"%"</f>
        <v>46%</v>
      </c>
      <c r="Q404" s="18">
        <f>PRODUCT(K404,N404)</f>
        <v>6329.5999999999995</v>
      </c>
    </row>
    <row r="405" spans="1:17" x14ac:dyDescent="0.45">
      <c r="A405" s="6" t="s">
        <v>263</v>
      </c>
      <c r="B405" s="9" t="s">
        <v>261</v>
      </c>
      <c r="C405" s="6" t="s">
        <v>45</v>
      </c>
      <c r="D405" s="18">
        <f ca="1">RANDBETWEEN(500,1000)</f>
        <v>815</v>
      </c>
      <c r="E405" s="19">
        <v>45654</v>
      </c>
      <c r="F405" s="18">
        <v>66</v>
      </c>
      <c r="G405" s="20">
        <v>0.77</v>
      </c>
      <c r="H405" s="18">
        <f t="shared" ref="H405:H468" ca="1" si="27">RANDBETWEEN(50,80)</f>
        <v>77</v>
      </c>
      <c r="I405" s="18">
        <f t="shared" ref="I405:I468" ca="1" si="28">RANDBETWEEN(70,200)</f>
        <v>155</v>
      </c>
      <c r="J405" s="15">
        <f ca="1">K405-L405</f>
        <v>321.40000000000003</v>
      </c>
      <c r="K405" s="15">
        <v>378.40000000000003</v>
      </c>
      <c r="L405" s="15">
        <f ca="1">RANDBETWEEN(30,87)</f>
        <v>57</v>
      </c>
      <c r="M405" s="11">
        <f ca="1">(L405/J405)</f>
        <v>0.17734909769757309</v>
      </c>
      <c r="N405" s="18">
        <v>85</v>
      </c>
      <c r="O405" s="18" t="str">
        <f t="shared" ref="O405:O468" ca="1" si="29">IF(F405&lt;H405,"Understocked","Optimal")</f>
        <v>Understocked</v>
      </c>
      <c r="P405" s="11" t="str">
        <f ca="1">RANDBETWEEN(30,76)&amp;"%"</f>
        <v>36%</v>
      </c>
      <c r="Q405" s="18">
        <f>PRODUCT(K405,N405)</f>
        <v>32164.000000000004</v>
      </c>
    </row>
    <row r="406" spans="1:17" x14ac:dyDescent="0.45">
      <c r="A406" s="6" t="s">
        <v>265</v>
      </c>
      <c r="B406" s="9" t="s">
        <v>261</v>
      </c>
      <c r="C406" s="6" t="s">
        <v>45</v>
      </c>
      <c r="D406" s="18">
        <f ca="1">RANDBETWEEN(500,1000)</f>
        <v>531</v>
      </c>
      <c r="E406" s="19">
        <v>45515</v>
      </c>
      <c r="F406" s="18">
        <v>19</v>
      </c>
      <c r="G406" s="20">
        <v>0.64</v>
      </c>
      <c r="H406" s="18">
        <f t="shared" ca="1" si="27"/>
        <v>74</v>
      </c>
      <c r="I406" s="18">
        <f t="shared" ca="1" si="28"/>
        <v>151</v>
      </c>
      <c r="J406" s="15">
        <f ca="1">K406-L406</f>
        <v>179</v>
      </c>
      <c r="K406" s="15">
        <v>215</v>
      </c>
      <c r="L406" s="15">
        <f ca="1">RANDBETWEEN(30,87)</f>
        <v>36</v>
      </c>
      <c r="M406" s="11">
        <f ca="1">(L406/J406)</f>
        <v>0.2011173184357542</v>
      </c>
      <c r="N406" s="18">
        <v>70</v>
      </c>
      <c r="O406" s="18" t="str">
        <f t="shared" ca="1" si="29"/>
        <v>Understocked</v>
      </c>
      <c r="P406" s="11" t="str">
        <f ca="1">RANDBETWEEN(30,76)&amp;"%"</f>
        <v>49%</v>
      </c>
      <c r="Q406" s="18">
        <f>PRODUCT(K406,N406)</f>
        <v>15050</v>
      </c>
    </row>
    <row r="407" spans="1:17" x14ac:dyDescent="0.45">
      <c r="A407" s="6" t="s">
        <v>266</v>
      </c>
      <c r="B407" s="9" t="s">
        <v>261</v>
      </c>
      <c r="C407" s="6" t="s">
        <v>45</v>
      </c>
      <c r="D407" s="18">
        <f ca="1">RANDBETWEEN(500,1000)</f>
        <v>638</v>
      </c>
      <c r="E407" s="19">
        <v>45394</v>
      </c>
      <c r="F407" s="18">
        <v>48</v>
      </c>
      <c r="G407" s="20">
        <v>0.3</v>
      </c>
      <c r="H407" s="18">
        <f t="shared" ca="1" si="27"/>
        <v>72</v>
      </c>
      <c r="I407" s="18">
        <f t="shared" ca="1" si="28"/>
        <v>86</v>
      </c>
      <c r="J407" s="15">
        <f ca="1">K407-L407</f>
        <v>295</v>
      </c>
      <c r="K407" s="15">
        <v>344</v>
      </c>
      <c r="L407" s="15">
        <f ca="1">RANDBETWEEN(30,87)</f>
        <v>49</v>
      </c>
      <c r="M407" s="11">
        <f ca="1">(L407/J407)</f>
        <v>0.16610169491525423</v>
      </c>
      <c r="N407" s="18">
        <v>52</v>
      </c>
      <c r="O407" s="18" t="str">
        <f t="shared" ca="1" si="29"/>
        <v>Understocked</v>
      </c>
      <c r="P407" s="11" t="str">
        <f ca="1">RANDBETWEEN(30,76)&amp;"%"</f>
        <v>74%</v>
      </c>
      <c r="Q407" s="18">
        <f>PRODUCT(K407,N407)</f>
        <v>17888</v>
      </c>
    </row>
    <row r="408" spans="1:17" x14ac:dyDescent="0.45">
      <c r="A408" s="6" t="s">
        <v>268</v>
      </c>
      <c r="B408" s="9" t="s">
        <v>261</v>
      </c>
      <c r="C408" s="6" t="s">
        <v>45</v>
      </c>
      <c r="D408" s="18">
        <f ca="1">RANDBETWEEN(500,1000)</f>
        <v>978</v>
      </c>
      <c r="E408" s="19">
        <v>45483</v>
      </c>
      <c r="F408" s="18">
        <v>52</v>
      </c>
      <c r="G408" s="20">
        <v>0.4</v>
      </c>
      <c r="H408" s="18">
        <f t="shared" ca="1" si="27"/>
        <v>64</v>
      </c>
      <c r="I408" s="18">
        <f t="shared" ca="1" si="28"/>
        <v>95</v>
      </c>
      <c r="J408" s="15">
        <f ca="1">K408-L408</f>
        <v>270</v>
      </c>
      <c r="K408" s="15">
        <v>344</v>
      </c>
      <c r="L408" s="15">
        <f ca="1">RANDBETWEEN(30,87)</f>
        <v>74</v>
      </c>
      <c r="M408" s="11">
        <f ca="1">(L408/J408)</f>
        <v>0.27407407407407408</v>
      </c>
      <c r="N408" s="18">
        <v>56</v>
      </c>
      <c r="O408" s="18" t="str">
        <f t="shared" ca="1" si="29"/>
        <v>Understocked</v>
      </c>
      <c r="P408" s="11" t="str">
        <f ca="1">RANDBETWEEN(30,76)&amp;"%"</f>
        <v>66%</v>
      </c>
      <c r="Q408" s="18">
        <f>PRODUCT(K408,N408)</f>
        <v>19264</v>
      </c>
    </row>
    <row r="409" spans="1:17" x14ac:dyDescent="0.45">
      <c r="A409" s="6" t="s">
        <v>269</v>
      </c>
      <c r="B409" s="9" t="s">
        <v>261</v>
      </c>
      <c r="C409" s="6" t="s">
        <v>45</v>
      </c>
      <c r="D409" s="18">
        <f ca="1">RANDBETWEEN(500,1000)</f>
        <v>722</v>
      </c>
      <c r="E409" s="19">
        <v>45519</v>
      </c>
      <c r="F409" s="18">
        <v>95</v>
      </c>
      <c r="G409" s="20">
        <v>0.31</v>
      </c>
      <c r="H409" s="18">
        <f t="shared" ca="1" si="27"/>
        <v>51</v>
      </c>
      <c r="I409" s="18">
        <f t="shared" ca="1" si="28"/>
        <v>172</v>
      </c>
      <c r="J409" s="15">
        <f ca="1">K409-L409</f>
        <v>50.2</v>
      </c>
      <c r="K409" s="15">
        <v>103.2</v>
      </c>
      <c r="L409" s="15">
        <f ca="1">RANDBETWEEN(30,87)</f>
        <v>53</v>
      </c>
      <c r="M409" s="11">
        <f ca="1">(L409/J409)</f>
        <v>1.0557768924302788</v>
      </c>
      <c r="N409" s="18">
        <v>49</v>
      </c>
      <c r="O409" s="18" t="str">
        <f t="shared" ca="1" si="29"/>
        <v>Optimal</v>
      </c>
      <c r="P409" s="11" t="str">
        <f ca="1">RANDBETWEEN(30,76)&amp;"%"</f>
        <v>50%</v>
      </c>
      <c r="Q409" s="18">
        <f>PRODUCT(K409,N409)</f>
        <v>5056.8</v>
      </c>
    </row>
    <row r="410" spans="1:17" x14ac:dyDescent="0.45">
      <c r="A410" s="6" t="s">
        <v>270</v>
      </c>
      <c r="B410" s="9" t="s">
        <v>261</v>
      </c>
      <c r="C410" s="6" t="s">
        <v>45</v>
      </c>
      <c r="D410" s="18">
        <f ca="1">RANDBETWEEN(500,1000)</f>
        <v>535</v>
      </c>
      <c r="E410" s="19">
        <v>45372</v>
      </c>
      <c r="F410" s="18">
        <v>63</v>
      </c>
      <c r="G410" s="20">
        <v>0.56999999999999995</v>
      </c>
      <c r="H410" s="18">
        <f t="shared" ca="1" si="27"/>
        <v>77</v>
      </c>
      <c r="I410" s="18">
        <f t="shared" ca="1" si="28"/>
        <v>132</v>
      </c>
      <c r="J410" s="15">
        <f ca="1">K410-L410</f>
        <v>693</v>
      </c>
      <c r="K410" s="15">
        <v>774</v>
      </c>
      <c r="L410" s="15">
        <f ca="1">RANDBETWEEN(30,87)</f>
        <v>81</v>
      </c>
      <c r="M410" s="11">
        <f ca="1">(L410/J410)</f>
        <v>0.11688311688311688</v>
      </c>
      <c r="N410" s="18">
        <v>62</v>
      </c>
      <c r="O410" s="18" t="str">
        <f t="shared" ca="1" si="29"/>
        <v>Understocked</v>
      </c>
      <c r="P410" s="11" t="str">
        <f ca="1">RANDBETWEEN(30,76)&amp;"%"</f>
        <v>64%</v>
      </c>
      <c r="Q410" s="18">
        <f>PRODUCT(K410,N410)</f>
        <v>47988</v>
      </c>
    </row>
    <row r="411" spans="1:17" x14ac:dyDescent="0.45">
      <c r="A411" s="6" t="s">
        <v>271</v>
      </c>
      <c r="B411" s="9" t="s">
        <v>261</v>
      </c>
      <c r="C411" s="6" t="s">
        <v>45</v>
      </c>
      <c r="D411" s="18">
        <f ca="1">RANDBETWEEN(500,1000)</f>
        <v>517</v>
      </c>
      <c r="E411" s="19">
        <v>45627</v>
      </c>
      <c r="F411" s="18">
        <v>57</v>
      </c>
      <c r="G411" s="20">
        <v>0.88</v>
      </c>
      <c r="H411" s="18">
        <f t="shared" ca="1" si="27"/>
        <v>52</v>
      </c>
      <c r="I411" s="18">
        <f t="shared" ca="1" si="28"/>
        <v>109</v>
      </c>
      <c r="J411" s="15">
        <f ca="1">K411-L411</f>
        <v>46</v>
      </c>
      <c r="K411" s="15">
        <v>86</v>
      </c>
      <c r="L411" s="15">
        <f ca="1">RANDBETWEEN(30,87)</f>
        <v>40</v>
      </c>
      <c r="M411" s="11">
        <f ca="1">(L411/J411)</f>
        <v>0.86956521739130432</v>
      </c>
      <c r="N411" s="18">
        <v>87</v>
      </c>
      <c r="O411" s="18" t="str">
        <f t="shared" ca="1" si="29"/>
        <v>Optimal</v>
      </c>
      <c r="P411" s="11" t="str">
        <f ca="1">RANDBETWEEN(30,76)&amp;"%"</f>
        <v>63%</v>
      </c>
      <c r="Q411" s="18">
        <f>PRODUCT(K411,N411)</f>
        <v>7482</v>
      </c>
    </row>
    <row r="412" spans="1:17" x14ac:dyDescent="0.45">
      <c r="A412" s="6" t="s">
        <v>272</v>
      </c>
      <c r="B412" s="9" t="s">
        <v>261</v>
      </c>
      <c r="C412" s="6" t="s">
        <v>45</v>
      </c>
      <c r="D412" s="18">
        <f ca="1">RANDBETWEEN(500,1000)</f>
        <v>845</v>
      </c>
      <c r="E412" s="19">
        <v>45347</v>
      </c>
      <c r="F412" s="18">
        <v>57</v>
      </c>
      <c r="G412" s="20">
        <v>0.31</v>
      </c>
      <c r="H412" s="18">
        <f t="shared" ca="1" si="27"/>
        <v>60</v>
      </c>
      <c r="I412" s="18">
        <f t="shared" ca="1" si="28"/>
        <v>136</v>
      </c>
      <c r="J412" s="15">
        <f ca="1">K412-L412</f>
        <v>99</v>
      </c>
      <c r="K412" s="15">
        <v>172</v>
      </c>
      <c r="L412" s="15">
        <f ca="1">RANDBETWEEN(30,87)</f>
        <v>73</v>
      </c>
      <c r="M412" s="11">
        <f ca="1">(L412/J412)</f>
        <v>0.73737373737373735</v>
      </c>
      <c r="N412" s="18">
        <v>78</v>
      </c>
      <c r="O412" s="18" t="str">
        <f t="shared" ca="1" si="29"/>
        <v>Understocked</v>
      </c>
      <c r="P412" s="11" t="str">
        <f ca="1">RANDBETWEEN(30,76)&amp;"%"</f>
        <v>44%</v>
      </c>
      <c r="Q412" s="18">
        <f>PRODUCT(K412,N412)</f>
        <v>13416</v>
      </c>
    </row>
    <row r="413" spans="1:17" x14ac:dyDescent="0.45">
      <c r="A413" s="6" t="s">
        <v>273</v>
      </c>
      <c r="B413" s="9" t="s">
        <v>261</v>
      </c>
      <c r="C413" s="6" t="s">
        <v>45</v>
      </c>
      <c r="D413" s="18">
        <f ca="1">RANDBETWEEN(500,1000)</f>
        <v>635</v>
      </c>
      <c r="E413" s="19">
        <v>45567</v>
      </c>
      <c r="F413" s="18">
        <v>77</v>
      </c>
      <c r="G413" s="20">
        <v>0.54</v>
      </c>
      <c r="H413" s="18">
        <f t="shared" ca="1" si="27"/>
        <v>80</v>
      </c>
      <c r="I413" s="18">
        <f t="shared" ca="1" si="28"/>
        <v>116</v>
      </c>
      <c r="J413" s="15">
        <f ca="1">K413-L413</f>
        <v>373</v>
      </c>
      <c r="K413" s="15">
        <v>430</v>
      </c>
      <c r="L413" s="15">
        <f ca="1">RANDBETWEEN(30,87)</f>
        <v>57</v>
      </c>
      <c r="M413" s="11">
        <f ca="1">(L413/J413)</f>
        <v>0.15281501340482573</v>
      </c>
      <c r="N413" s="18">
        <v>64</v>
      </c>
      <c r="O413" s="18" t="str">
        <f t="shared" ca="1" si="29"/>
        <v>Understocked</v>
      </c>
      <c r="P413" s="11" t="str">
        <f ca="1">RANDBETWEEN(30,76)&amp;"%"</f>
        <v>69%</v>
      </c>
      <c r="Q413" s="18">
        <f>PRODUCT(K413,N413)</f>
        <v>27520</v>
      </c>
    </row>
    <row r="414" spans="1:17" x14ac:dyDescent="0.45">
      <c r="A414" s="6" t="s">
        <v>274</v>
      </c>
      <c r="B414" s="9" t="s">
        <v>261</v>
      </c>
      <c r="C414" s="6" t="s">
        <v>45</v>
      </c>
      <c r="D414" s="18">
        <f ca="1">RANDBETWEEN(500,1000)</f>
        <v>702</v>
      </c>
      <c r="E414" s="19">
        <v>45692</v>
      </c>
      <c r="F414" s="18">
        <v>86</v>
      </c>
      <c r="G414" s="20">
        <v>0.71</v>
      </c>
      <c r="H414" s="18">
        <f t="shared" ca="1" si="27"/>
        <v>80</v>
      </c>
      <c r="I414" s="18">
        <f t="shared" ca="1" si="28"/>
        <v>79</v>
      </c>
      <c r="J414" s="15">
        <f ca="1">K414-L414</f>
        <v>311.2</v>
      </c>
      <c r="K414" s="15">
        <v>361.2</v>
      </c>
      <c r="L414" s="15">
        <f ca="1">RANDBETWEEN(30,87)</f>
        <v>50</v>
      </c>
      <c r="M414" s="11">
        <f ca="1">(L414/J414)</f>
        <v>0.16066838046272494</v>
      </c>
      <c r="N414" s="18">
        <v>30</v>
      </c>
      <c r="O414" s="18" t="str">
        <f t="shared" ca="1" si="29"/>
        <v>Optimal</v>
      </c>
      <c r="P414" s="11" t="str">
        <f ca="1">RANDBETWEEN(30,76)&amp;"%"</f>
        <v>47%</v>
      </c>
      <c r="Q414" s="18">
        <f>PRODUCT(K414,N414)</f>
        <v>10836</v>
      </c>
    </row>
    <row r="415" spans="1:17" x14ac:dyDescent="0.45">
      <c r="A415" s="6" t="s">
        <v>275</v>
      </c>
      <c r="B415" s="9" t="s">
        <v>261</v>
      </c>
      <c r="C415" s="6" t="s">
        <v>45</v>
      </c>
      <c r="D415" s="18">
        <f ca="1">RANDBETWEEN(500,1000)</f>
        <v>854</v>
      </c>
      <c r="E415" s="19">
        <v>45463</v>
      </c>
      <c r="F415" s="18">
        <v>33</v>
      </c>
      <c r="G415" s="20">
        <v>0.46</v>
      </c>
      <c r="H415" s="18">
        <f t="shared" ca="1" si="27"/>
        <v>50</v>
      </c>
      <c r="I415" s="18">
        <f t="shared" ca="1" si="28"/>
        <v>118</v>
      </c>
      <c r="J415" s="15">
        <f ca="1">K415-L415</f>
        <v>393</v>
      </c>
      <c r="K415" s="15">
        <v>473</v>
      </c>
      <c r="L415" s="15">
        <f ca="1">RANDBETWEEN(30,87)</f>
        <v>80</v>
      </c>
      <c r="M415" s="11">
        <f ca="1">(L415/J415)</f>
        <v>0.20356234096692111</v>
      </c>
      <c r="N415" s="18">
        <v>90</v>
      </c>
      <c r="O415" s="18" t="str">
        <f t="shared" ca="1" si="29"/>
        <v>Understocked</v>
      </c>
      <c r="P415" s="11" t="str">
        <f ca="1">RANDBETWEEN(30,76)&amp;"%"</f>
        <v>75%</v>
      </c>
      <c r="Q415" s="18">
        <f>PRODUCT(K415,N415)</f>
        <v>42570</v>
      </c>
    </row>
    <row r="416" spans="1:17" x14ac:dyDescent="0.45">
      <c r="A416" s="6" t="s">
        <v>295</v>
      </c>
      <c r="B416" s="9" t="s">
        <v>296</v>
      </c>
      <c r="C416" s="6" t="s">
        <v>45</v>
      </c>
      <c r="D416" s="18">
        <f ca="1">RANDBETWEEN(500,1000)</f>
        <v>723</v>
      </c>
      <c r="E416" s="19">
        <v>45616</v>
      </c>
      <c r="F416" s="18">
        <v>57</v>
      </c>
      <c r="G416" s="20">
        <v>0.59</v>
      </c>
      <c r="H416" s="18">
        <f t="shared" ca="1" si="27"/>
        <v>58</v>
      </c>
      <c r="I416" s="18">
        <f t="shared" ca="1" si="28"/>
        <v>86</v>
      </c>
      <c r="J416" s="15">
        <f ca="1">K416-L416</f>
        <v>142.79999999999998</v>
      </c>
      <c r="K416" s="15">
        <v>197.79999999999998</v>
      </c>
      <c r="L416" s="15">
        <f ca="1">RANDBETWEEN(30,87)</f>
        <v>55</v>
      </c>
      <c r="M416" s="11">
        <f ca="1">(L416/J416)</f>
        <v>0.38515406162464988</v>
      </c>
      <c r="N416" s="18">
        <v>44</v>
      </c>
      <c r="O416" s="18" t="str">
        <f t="shared" ca="1" si="29"/>
        <v>Understocked</v>
      </c>
      <c r="P416" s="11" t="str">
        <f ca="1">RANDBETWEEN(30,76)&amp;"%"</f>
        <v>42%</v>
      </c>
      <c r="Q416" s="18">
        <f>PRODUCT(K416,N416)</f>
        <v>8703.1999999999989</v>
      </c>
    </row>
    <row r="417" spans="1:17" x14ac:dyDescent="0.45">
      <c r="A417" s="6" t="s">
        <v>299</v>
      </c>
      <c r="B417" s="9" t="s">
        <v>296</v>
      </c>
      <c r="C417" s="6" t="s">
        <v>45</v>
      </c>
      <c r="D417" s="18">
        <f ca="1">RANDBETWEEN(500,1000)</f>
        <v>870</v>
      </c>
      <c r="E417" s="19">
        <v>45390</v>
      </c>
      <c r="F417" s="18">
        <v>43</v>
      </c>
      <c r="G417" s="20">
        <v>0.59</v>
      </c>
      <c r="H417" s="18">
        <f t="shared" ca="1" si="27"/>
        <v>71</v>
      </c>
      <c r="I417" s="18">
        <f t="shared" ca="1" si="28"/>
        <v>112</v>
      </c>
      <c r="J417" s="15">
        <f ca="1">K417-L417</f>
        <v>725</v>
      </c>
      <c r="K417" s="15">
        <v>774</v>
      </c>
      <c r="L417" s="15">
        <f ca="1">RANDBETWEEN(30,87)</f>
        <v>49</v>
      </c>
      <c r="M417" s="11">
        <f ca="1">(L417/J417)</f>
        <v>6.7586206896551718E-2</v>
      </c>
      <c r="N417" s="18">
        <v>27</v>
      </c>
      <c r="O417" s="18" t="str">
        <f t="shared" ca="1" si="29"/>
        <v>Understocked</v>
      </c>
      <c r="P417" s="11" t="str">
        <f ca="1">RANDBETWEEN(30,76)&amp;"%"</f>
        <v>74%</v>
      </c>
      <c r="Q417" s="18">
        <f>PRODUCT(K417,N417)</f>
        <v>20898</v>
      </c>
    </row>
    <row r="418" spans="1:17" x14ac:dyDescent="0.45">
      <c r="A418" s="6" t="s">
        <v>310</v>
      </c>
      <c r="B418" s="9" t="s">
        <v>311</v>
      </c>
      <c r="C418" s="6" t="s">
        <v>45</v>
      </c>
      <c r="D418" s="18">
        <f ca="1">RANDBETWEEN(500,1000)</f>
        <v>674</v>
      </c>
      <c r="E418" s="19">
        <v>45386</v>
      </c>
      <c r="F418" s="18">
        <v>56</v>
      </c>
      <c r="G418" s="20">
        <v>0.52</v>
      </c>
      <c r="H418" s="18">
        <f t="shared" ca="1" si="27"/>
        <v>76</v>
      </c>
      <c r="I418" s="18">
        <f t="shared" ca="1" si="28"/>
        <v>171</v>
      </c>
      <c r="J418" s="15">
        <f ca="1">K418-L418</f>
        <v>608</v>
      </c>
      <c r="K418" s="15">
        <v>688</v>
      </c>
      <c r="L418" s="15">
        <f ca="1">RANDBETWEEN(30,87)</f>
        <v>80</v>
      </c>
      <c r="M418" s="11">
        <f ca="1">(L418/J418)</f>
        <v>0.13157894736842105</v>
      </c>
      <c r="N418" s="18">
        <v>42</v>
      </c>
      <c r="O418" s="18" t="str">
        <f t="shared" ca="1" si="29"/>
        <v>Understocked</v>
      </c>
      <c r="P418" s="11" t="str">
        <f ca="1">RANDBETWEEN(30,76)&amp;"%"</f>
        <v>44%</v>
      </c>
      <c r="Q418" s="18">
        <f>PRODUCT(K418,N418)</f>
        <v>28896</v>
      </c>
    </row>
    <row r="419" spans="1:17" x14ac:dyDescent="0.45">
      <c r="A419" s="6" t="s">
        <v>312</v>
      </c>
      <c r="B419" s="9" t="s">
        <v>311</v>
      </c>
      <c r="C419" s="6" t="s">
        <v>45</v>
      </c>
      <c r="D419" s="18">
        <f ca="1">RANDBETWEEN(500,1000)</f>
        <v>701</v>
      </c>
      <c r="E419" s="19">
        <v>45677</v>
      </c>
      <c r="F419" s="18">
        <v>16</v>
      </c>
      <c r="G419" s="20">
        <v>0.52</v>
      </c>
      <c r="H419" s="18">
        <f t="shared" ca="1" si="27"/>
        <v>64</v>
      </c>
      <c r="I419" s="18">
        <f t="shared" ca="1" si="28"/>
        <v>125</v>
      </c>
      <c r="J419" s="15">
        <f ca="1">K419-L419</f>
        <v>86</v>
      </c>
      <c r="K419" s="15">
        <v>172</v>
      </c>
      <c r="L419" s="15">
        <f ca="1">RANDBETWEEN(30,87)</f>
        <v>86</v>
      </c>
      <c r="M419" s="11">
        <f ca="1">(L419/J419)</f>
        <v>1</v>
      </c>
      <c r="N419" s="18">
        <v>21</v>
      </c>
      <c r="O419" s="18" t="str">
        <f t="shared" ca="1" si="29"/>
        <v>Understocked</v>
      </c>
      <c r="P419" s="11" t="str">
        <f ca="1">RANDBETWEEN(30,76)&amp;"%"</f>
        <v>37%</v>
      </c>
      <c r="Q419" s="18">
        <f>PRODUCT(K419,N419)</f>
        <v>3612</v>
      </c>
    </row>
    <row r="420" spans="1:17" x14ac:dyDescent="0.45">
      <c r="A420" s="6" t="s">
        <v>313</v>
      </c>
      <c r="B420" s="9" t="s">
        <v>311</v>
      </c>
      <c r="C420" s="6" t="s">
        <v>45</v>
      </c>
      <c r="D420" s="18">
        <f ca="1">RANDBETWEEN(500,1000)</f>
        <v>654</v>
      </c>
      <c r="E420" s="19">
        <v>45712</v>
      </c>
      <c r="F420" s="18">
        <v>19</v>
      </c>
      <c r="G420" s="20">
        <v>0.64</v>
      </c>
      <c r="H420" s="18">
        <f t="shared" ca="1" si="27"/>
        <v>64</v>
      </c>
      <c r="I420" s="18">
        <f t="shared" ca="1" si="28"/>
        <v>71</v>
      </c>
      <c r="J420" s="15">
        <f ca="1">K420-L420</f>
        <v>615</v>
      </c>
      <c r="K420" s="15">
        <v>688</v>
      </c>
      <c r="L420" s="15">
        <f ca="1">RANDBETWEEN(30,87)</f>
        <v>73</v>
      </c>
      <c r="M420" s="11">
        <f ca="1">(L420/J420)</f>
        <v>0.11869918699186992</v>
      </c>
      <c r="N420" s="18">
        <v>96</v>
      </c>
      <c r="O420" s="18" t="str">
        <f t="shared" ca="1" si="29"/>
        <v>Understocked</v>
      </c>
      <c r="P420" s="11" t="str">
        <f ca="1">RANDBETWEEN(30,76)&amp;"%"</f>
        <v>51%</v>
      </c>
      <c r="Q420" s="18">
        <f>PRODUCT(K420,N420)</f>
        <v>66048</v>
      </c>
    </row>
    <row r="421" spans="1:17" x14ac:dyDescent="0.45">
      <c r="A421" s="6" t="s">
        <v>314</v>
      </c>
      <c r="B421" s="9" t="s">
        <v>311</v>
      </c>
      <c r="C421" s="6" t="s">
        <v>45</v>
      </c>
      <c r="D421" s="18">
        <f ca="1">RANDBETWEEN(500,1000)</f>
        <v>616</v>
      </c>
      <c r="E421" s="19">
        <v>45446</v>
      </c>
      <c r="F421" s="18">
        <v>85</v>
      </c>
      <c r="G421" s="20">
        <v>0.43</v>
      </c>
      <c r="H421" s="18">
        <f t="shared" ca="1" si="27"/>
        <v>51</v>
      </c>
      <c r="I421" s="18">
        <f t="shared" ca="1" si="28"/>
        <v>194</v>
      </c>
      <c r="J421" s="15">
        <f ca="1">K421-L421</f>
        <v>275</v>
      </c>
      <c r="K421" s="15">
        <v>344</v>
      </c>
      <c r="L421" s="15">
        <f ca="1">RANDBETWEEN(30,87)</f>
        <v>69</v>
      </c>
      <c r="M421" s="11">
        <f ca="1">(L421/J421)</f>
        <v>0.25090909090909091</v>
      </c>
      <c r="N421" s="18">
        <v>61</v>
      </c>
      <c r="O421" s="18" t="str">
        <f t="shared" ca="1" si="29"/>
        <v>Optimal</v>
      </c>
      <c r="P421" s="11" t="str">
        <f ca="1">RANDBETWEEN(30,76)&amp;"%"</f>
        <v>66%</v>
      </c>
      <c r="Q421" s="18">
        <f>PRODUCT(K421,N421)</f>
        <v>20984</v>
      </c>
    </row>
    <row r="422" spans="1:17" x14ac:dyDescent="0.45">
      <c r="A422" s="6" t="s">
        <v>315</v>
      </c>
      <c r="B422" s="9" t="s">
        <v>311</v>
      </c>
      <c r="C422" s="6" t="s">
        <v>45</v>
      </c>
      <c r="D422" s="18">
        <f ca="1">RANDBETWEEN(500,1000)</f>
        <v>987</v>
      </c>
      <c r="E422" s="19">
        <v>45616</v>
      </c>
      <c r="F422" s="18">
        <v>32</v>
      </c>
      <c r="G422" s="20">
        <v>0.72</v>
      </c>
      <c r="H422" s="18">
        <f t="shared" ca="1" si="27"/>
        <v>58</v>
      </c>
      <c r="I422" s="18">
        <f t="shared" ca="1" si="28"/>
        <v>102</v>
      </c>
      <c r="J422" s="15">
        <f ca="1">K422-L422</f>
        <v>249.39999999999998</v>
      </c>
      <c r="K422" s="15">
        <v>335.4</v>
      </c>
      <c r="L422" s="15">
        <f ca="1">RANDBETWEEN(30,87)</f>
        <v>86</v>
      </c>
      <c r="M422" s="11">
        <f ca="1">(L422/J422)</f>
        <v>0.34482758620689657</v>
      </c>
      <c r="N422" s="18">
        <v>38</v>
      </c>
      <c r="O422" s="18" t="str">
        <f t="shared" ca="1" si="29"/>
        <v>Understocked</v>
      </c>
      <c r="P422" s="11" t="str">
        <f ca="1">RANDBETWEEN(30,76)&amp;"%"</f>
        <v>75%</v>
      </c>
      <c r="Q422" s="18">
        <f>PRODUCT(K422,N422)</f>
        <v>12745.199999999999</v>
      </c>
    </row>
    <row r="423" spans="1:17" x14ac:dyDescent="0.45">
      <c r="A423" s="6" t="s">
        <v>316</v>
      </c>
      <c r="B423" s="9" t="s">
        <v>311</v>
      </c>
      <c r="C423" s="6" t="s">
        <v>45</v>
      </c>
      <c r="D423" s="18">
        <f ca="1">RANDBETWEEN(500,1000)</f>
        <v>966</v>
      </c>
      <c r="E423" s="19">
        <v>45486</v>
      </c>
      <c r="F423" s="18">
        <v>99</v>
      </c>
      <c r="G423" s="20">
        <v>0.35</v>
      </c>
      <c r="H423" s="18">
        <f t="shared" ca="1" si="27"/>
        <v>69</v>
      </c>
      <c r="I423" s="18">
        <f t="shared" ca="1" si="28"/>
        <v>90</v>
      </c>
      <c r="J423" s="15">
        <f ca="1">K423-L423</f>
        <v>149</v>
      </c>
      <c r="K423" s="15">
        <v>215</v>
      </c>
      <c r="L423" s="15">
        <f ca="1">RANDBETWEEN(30,87)</f>
        <v>66</v>
      </c>
      <c r="M423" s="11">
        <f ca="1">(L423/J423)</f>
        <v>0.44295302013422821</v>
      </c>
      <c r="N423" s="18">
        <v>41</v>
      </c>
      <c r="O423" s="18" t="str">
        <f t="shared" ca="1" si="29"/>
        <v>Optimal</v>
      </c>
      <c r="P423" s="11" t="str">
        <f ca="1">RANDBETWEEN(30,76)&amp;"%"</f>
        <v>45%</v>
      </c>
      <c r="Q423" s="18">
        <f>PRODUCT(K423,N423)</f>
        <v>8815</v>
      </c>
    </row>
    <row r="424" spans="1:17" x14ac:dyDescent="0.45">
      <c r="A424" s="6" t="s">
        <v>317</v>
      </c>
      <c r="B424" s="9" t="s">
        <v>311</v>
      </c>
      <c r="C424" s="6" t="s">
        <v>45</v>
      </c>
      <c r="D424" s="18">
        <f ca="1">RANDBETWEEN(500,1000)</f>
        <v>514</v>
      </c>
      <c r="E424" s="19">
        <v>45457</v>
      </c>
      <c r="F424" s="18">
        <v>89</v>
      </c>
      <c r="G424" s="20">
        <v>0.42</v>
      </c>
      <c r="H424" s="18">
        <f t="shared" ca="1" si="27"/>
        <v>63</v>
      </c>
      <c r="I424" s="18">
        <f t="shared" ca="1" si="28"/>
        <v>79</v>
      </c>
      <c r="J424" s="15">
        <f ca="1">K424-L424</f>
        <v>341.5</v>
      </c>
      <c r="K424" s="15">
        <v>408.5</v>
      </c>
      <c r="L424" s="15">
        <f ca="1">RANDBETWEEN(30,87)</f>
        <v>67</v>
      </c>
      <c r="M424" s="11">
        <f ca="1">(L424/J424)</f>
        <v>0.19619326500732065</v>
      </c>
      <c r="N424" s="18">
        <v>38</v>
      </c>
      <c r="O424" s="18" t="str">
        <f t="shared" ca="1" si="29"/>
        <v>Optimal</v>
      </c>
      <c r="P424" s="11" t="str">
        <f ca="1">RANDBETWEEN(30,76)&amp;"%"</f>
        <v>41%</v>
      </c>
      <c r="Q424" s="18">
        <f>PRODUCT(K424,N424)</f>
        <v>15523</v>
      </c>
    </row>
    <row r="425" spans="1:17" x14ac:dyDescent="0.45">
      <c r="A425" s="6" t="s">
        <v>359</v>
      </c>
      <c r="B425" s="9" t="s">
        <v>360</v>
      </c>
      <c r="C425" s="6" t="s">
        <v>45</v>
      </c>
      <c r="D425" s="18">
        <f ca="1">RANDBETWEEN(500,1000)</f>
        <v>525</v>
      </c>
      <c r="E425" s="19">
        <v>45524</v>
      </c>
      <c r="F425" s="18">
        <v>67</v>
      </c>
      <c r="G425" s="20">
        <v>0.65</v>
      </c>
      <c r="H425" s="18">
        <f t="shared" ca="1" si="27"/>
        <v>73</v>
      </c>
      <c r="I425" s="18">
        <f t="shared" ca="1" si="28"/>
        <v>191</v>
      </c>
      <c r="J425" s="15">
        <f ca="1">K425-L425</f>
        <v>994</v>
      </c>
      <c r="K425" s="15">
        <v>1032</v>
      </c>
      <c r="L425" s="15">
        <f ca="1">RANDBETWEEN(30,87)</f>
        <v>38</v>
      </c>
      <c r="M425" s="11">
        <f ca="1">(L425/J425)</f>
        <v>3.8229376257545272E-2</v>
      </c>
      <c r="N425" s="18">
        <v>81</v>
      </c>
      <c r="O425" s="18" t="str">
        <f t="shared" ca="1" si="29"/>
        <v>Understocked</v>
      </c>
      <c r="P425" s="11" t="str">
        <f ca="1">RANDBETWEEN(30,76)&amp;"%"</f>
        <v>41%</v>
      </c>
      <c r="Q425" s="18">
        <f>PRODUCT(K425,N425)</f>
        <v>83592</v>
      </c>
    </row>
    <row r="426" spans="1:17" x14ac:dyDescent="0.45">
      <c r="A426" s="6" t="s">
        <v>361</v>
      </c>
      <c r="B426" s="9" t="s">
        <v>360</v>
      </c>
      <c r="C426" s="6" t="s">
        <v>45</v>
      </c>
      <c r="D426" s="18">
        <f ca="1">RANDBETWEEN(500,1000)</f>
        <v>846</v>
      </c>
      <c r="E426" s="19">
        <v>45379</v>
      </c>
      <c r="F426" s="18">
        <v>19</v>
      </c>
      <c r="G426" s="20">
        <v>0.38</v>
      </c>
      <c r="H426" s="18">
        <f t="shared" ca="1" si="27"/>
        <v>62</v>
      </c>
      <c r="I426" s="18">
        <f t="shared" ca="1" si="28"/>
        <v>186</v>
      </c>
      <c r="J426" s="15">
        <f ca="1">K426-L426</f>
        <v>144.70000000000002</v>
      </c>
      <c r="K426" s="15">
        <v>210.70000000000002</v>
      </c>
      <c r="L426" s="15">
        <f ca="1">RANDBETWEEN(30,87)</f>
        <v>66</v>
      </c>
      <c r="M426" s="11">
        <f ca="1">(L426/J426)</f>
        <v>0.45611610228058047</v>
      </c>
      <c r="N426" s="18">
        <v>31</v>
      </c>
      <c r="O426" s="18" t="str">
        <f t="shared" ca="1" si="29"/>
        <v>Understocked</v>
      </c>
      <c r="P426" s="11" t="str">
        <f ca="1">RANDBETWEEN(30,76)&amp;"%"</f>
        <v>44%</v>
      </c>
      <c r="Q426" s="18">
        <f>PRODUCT(K426,N426)</f>
        <v>6531.7000000000007</v>
      </c>
    </row>
    <row r="427" spans="1:17" x14ac:dyDescent="0.45">
      <c r="A427" s="6" t="s">
        <v>362</v>
      </c>
      <c r="B427" s="9" t="s">
        <v>360</v>
      </c>
      <c r="C427" s="6" t="s">
        <v>45</v>
      </c>
      <c r="D427" s="18">
        <f ca="1">RANDBETWEEN(500,1000)</f>
        <v>617</v>
      </c>
      <c r="E427" s="19">
        <v>45488</v>
      </c>
      <c r="F427" s="18">
        <v>85</v>
      </c>
      <c r="G427" s="20">
        <v>0.79</v>
      </c>
      <c r="H427" s="18">
        <f t="shared" ca="1" si="27"/>
        <v>62</v>
      </c>
      <c r="I427" s="18">
        <f t="shared" ca="1" si="28"/>
        <v>120</v>
      </c>
      <c r="J427" s="15">
        <f ca="1">K427-L427</f>
        <v>166</v>
      </c>
      <c r="K427" s="15">
        <v>215</v>
      </c>
      <c r="L427" s="15">
        <f ca="1">RANDBETWEEN(30,87)</f>
        <v>49</v>
      </c>
      <c r="M427" s="11">
        <f ca="1">(L427/J427)</f>
        <v>0.29518072289156627</v>
      </c>
      <c r="N427" s="18">
        <v>64</v>
      </c>
      <c r="O427" s="18" t="str">
        <f t="shared" ca="1" si="29"/>
        <v>Optimal</v>
      </c>
      <c r="P427" s="11" t="str">
        <f ca="1">RANDBETWEEN(30,76)&amp;"%"</f>
        <v>36%</v>
      </c>
      <c r="Q427" s="18">
        <f>PRODUCT(K427,N427)</f>
        <v>13760</v>
      </c>
    </row>
    <row r="428" spans="1:17" x14ac:dyDescent="0.45">
      <c r="A428" s="6" t="s">
        <v>363</v>
      </c>
      <c r="B428" s="9" t="s">
        <v>360</v>
      </c>
      <c r="C428" s="6" t="s">
        <v>45</v>
      </c>
      <c r="D428" s="18">
        <f ca="1">RANDBETWEEN(500,1000)</f>
        <v>674</v>
      </c>
      <c r="E428" s="19">
        <v>45673</v>
      </c>
      <c r="F428" s="18">
        <v>28</v>
      </c>
      <c r="G428" s="20">
        <v>0.81</v>
      </c>
      <c r="H428" s="18">
        <f t="shared" ca="1" si="27"/>
        <v>56</v>
      </c>
      <c r="I428" s="18">
        <f t="shared" ca="1" si="28"/>
        <v>135</v>
      </c>
      <c r="J428" s="15">
        <f ca="1">K428-L428</f>
        <v>640</v>
      </c>
      <c r="K428" s="15">
        <v>688</v>
      </c>
      <c r="L428" s="15">
        <f ca="1">RANDBETWEEN(30,87)</f>
        <v>48</v>
      </c>
      <c r="M428" s="11">
        <f ca="1">(L428/J428)</f>
        <v>7.4999999999999997E-2</v>
      </c>
      <c r="N428" s="18">
        <v>33</v>
      </c>
      <c r="O428" s="18" t="str">
        <f t="shared" ca="1" si="29"/>
        <v>Understocked</v>
      </c>
      <c r="P428" s="11" t="str">
        <f ca="1">RANDBETWEEN(30,76)&amp;"%"</f>
        <v>55%</v>
      </c>
      <c r="Q428" s="18">
        <f>PRODUCT(K428,N428)</f>
        <v>22704</v>
      </c>
    </row>
    <row r="429" spans="1:17" x14ac:dyDescent="0.45">
      <c r="A429" s="6" t="s">
        <v>364</v>
      </c>
      <c r="B429" s="9" t="s">
        <v>360</v>
      </c>
      <c r="C429" s="6" t="s">
        <v>45</v>
      </c>
      <c r="D429" s="18">
        <f ca="1">RANDBETWEEN(500,1000)</f>
        <v>667</v>
      </c>
      <c r="E429" s="19">
        <v>45669</v>
      </c>
      <c r="F429" s="18">
        <v>47</v>
      </c>
      <c r="G429" s="20">
        <v>0.61</v>
      </c>
      <c r="H429" s="18">
        <f t="shared" ca="1" si="27"/>
        <v>63</v>
      </c>
      <c r="I429" s="18">
        <f t="shared" ca="1" si="28"/>
        <v>148</v>
      </c>
      <c r="J429" s="15">
        <f ca="1">K429-L429</f>
        <v>647</v>
      </c>
      <c r="K429" s="15">
        <v>688</v>
      </c>
      <c r="L429" s="15">
        <f ca="1">RANDBETWEEN(30,87)</f>
        <v>41</v>
      </c>
      <c r="M429" s="11">
        <f ca="1">(L429/J429)</f>
        <v>6.3369397217928905E-2</v>
      </c>
      <c r="N429" s="18">
        <v>49</v>
      </c>
      <c r="O429" s="18" t="str">
        <f t="shared" ca="1" si="29"/>
        <v>Understocked</v>
      </c>
      <c r="P429" s="11" t="str">
        <f ca="1">RANDBETWEEN(30,76)&amp;"%"</f>
        <v>63%</v>
      </c>
      <c r="Q429" s="18">
        <f>PRODUCT(K429,N429)</f>
        <v>33712</v>
      </c>
    </row>
    <row r="430" spans="1:17" x14ac:dyDescent="0.45">
      <c r="A430" t="s">
        <v>500</v>
      </c>
      <c r="B430" t="s">
        <v>496</v>
      </c>
      <c r="C430" t="s">
        <v>45</v>
      </c>
      <c r="D430" s="18">
        <f ca="1">RANDBETWEEN(500,1000)</f>
        <v>762</v>
      </c>
      <c r="E430" s="1">
        <v>45401</v>
      </c>
      <c r="F430">
        <v>42</v>
      </c>
      <c r="G430" s="2">
        <v>0.68</v>
      </c>
      <c r="H430" s="18">
        <f t="shared" ca="1" si="27"/>
        <v>67</v>
      </c>
      <c r="I430" s="18">
        <f t="shared" ca="1" si="28"/>
        <v>84</v>
      </c>
      <c r="J430" s="4">
        <f ca="1">K430-L430</f>
        <v>2631</v>
      </c>
      <c r="K430" s="4">
        <v>2666</v>
      </c>
      <c r="L430" s="4">
        <f ca="1">RANDBETWEEN(30,87)</f>
        <v>35</v>
      </c>
      <c r="M430" s="3">
        <f ca="1">(L430/J430)</f>
        <v>1.3302926643861649E-2</v>
      </c>
      <c r="N430">
        <v>39</v>
      </c>
      <c r="O430" s="18" t="str">
        <f t="shared" ca="1" si="29"/>
        <v>Understocked</v>
      </c>
      <c r="P430">
        <v>32</v>
      </c>
    </row>
    <row r="431" spans="1:17" x14ac:dyDescent="0.45">
      <c r="A431" s="6" t="s">
        <v>365</v>
      </c>
      <c r="B431" s="9" t="s">
        <v>360</v>
      </c>
      <c r="C431" s="6" t="s">
        <v>45</v>
      </c>
      <c r="D431" s="18">
        <f ca="1">RANDBETWEEN(500,1000)</f>
        <v>648</v>
      </c>
      <c r="E431" s="19">
        <v>45568</v>
      </c>
      <c r="F431" s="18">
        <v>60</v>
      </c>
      <c r="G431" s="20">
        <v>0.78</v>
      </c>
      <c r="H431" s="18">
        <f t="shared" ca="1" si="27"/>
        <v>53</v>
      </c>
      <c r="I431" s="18">
        <f t="shared" ca="1" si="28"/>
        <v>92</v>
      </c>
      <c r="J431" s="15">
        <f ca="1">K431-L431</f>
        <v>382.8</v>
      </c>
      <c r="K431" s="15">
        <v>455.8</v>
      </c>
      <c r="L431" s="15">
        <f ca="1">RANDBETWEEN(30,87)</f>
        <v>73</v>
      </c>
      <c r="M431" s="11">
        <f ca="1">(L431/J431)</f>
        <v>0.19070010449320793</v>
      </c>
      <c r="N431" s="18">
        <v>74</v>
      </c>
      <c r="O431" s="18" t="str">
        <f t="shared" ca="1" si="29"/>
        <v>Optimal</v>
      </c>
      <c r="P431" s="11" t="str">
        <f ca="1">RANDBETWEEN(30,76)&amp;"%"</f>
        <v>71%</v>
      </c>
      <c r="Q431" s="18">
        <f>PRODUCT(K431,N431)</f>
        <v>33729.200000000004</v>
      </c>
    </row>
    <row r="432" spans="1:17" x14ac:dyDescent="0.45">
      <c r="A432" s="6" t="s">
        <v>366</v>
      </c>
      <c r="B432" s="9" t="s">
        <v>360</v>
      </c>
      <c r="C432" s="6" t="s">
        <v>45</v>
      </c>
      <c r="D432" s="18">
        <f ca="1">RANDBETWEEN(500,1000)</f>
        <v>923</v>
      </c>
      <c r="E432" s="19">
        <v>45437</v>
      </c>
      <c r="F432" s="18">
        <v>76</v>
      </c>
      <c r="G432" s="20">
        <v>0.81</v>
      </c>
      <c r="H432" s="18">
        <f t="shared" ca="1" si="27"/>
        <v>62</v>
      </c>
      <c r="I432" s="18">
        <f t="shared" ca="1" si="28"/>
        <v>147</v>
      </c>
      <c r="J432" s="15">
        <f ca="1">K432-L432</f>
        <v>417</v>
      </c>
      <c r="K432" s="15">
        <v>473</v>
      </c>
      <c r="L432" s="15">
        <f ca="1">RANDBETWEEN(30,87)</f>
        <v>56</v>
      </c>
      <c r="M432" s="11">
        <f ca="1">(L432/J432)</f>
        <v>0.1342925659472422</v>
      </c>
      <c r="N432" s="18">
        <v>22</v>
      </c>
      <c r="O432" s="18" t="str">
        <f t="shared" ca="1" si="29"/>
        <v>Optimal</v>
      </c>
      <c r="P432" s="11" t="str">
        <f ca="1">RANDBETWEEN(30,76)&amp;"%"</f>
        <v>47%</v>
      </c>
      <c r="Q432" s="18">
        <f>PRODUCT(K432,N432)</f>
        <v>10406</v>
      </c>
    </row>
    <row r="433" spans="1:17" x14ac:dyDescent="0.45">
      <c r="A433" s="6" t="s">
        <v>367</v>
      </c>
      <c r="B433" s="9" t="s">
        <v>360</v>
      </c>
      <c r="C433" s="6" t="s">
        <v>45</v>
      </c>
      <c r="D433" s="18">
        <f ca="1">RANDBETWEEN(500,1000)</f>
        <v>741</v>
      </c>
      <c r="E433" s="19">
        <v>45632</v>
      </c>
      <c r="F433" s="18">
        <v>12</v>
      </c>
      <c r="G433" s="20">
        <v>0.88</v>
      </c>
      <c r="H433" s="18">
        <f t="shared" ca="1" si="27"/>
        <v>59</v>
      </c>
      <c r="I433" s="18">
        <f t="shared" ca="1" si="28"/>
        <v>162</v>
      </c>
      <c r="J433" s="15">
        <f ca="1">K433-L433</f>
        <v>486.20000000000005</v>
      </c>
      <c r="K433" s="15">
        <v>533.20000000000005</v>
      </c>
      <c r="L433" s="15">
        <f ca="1">RANDBETWEEN(30,87)</f>
        <v>47</v>
      </c>
      <c r="M433" s="11">
        <f ca="1">(L433/J433)</f>
        <v>9.666803784450842E-2</v>
      </c>
      <c r="N433" s="18">
        <v>45</v>
      </c>
      <c r="O433" s="18" t="str">
        <f t="shared" ca="1" si="29"/>
        <v>Understocked</v>
      </c>
      <c r="P433" s="11" t="str">
        <f ca="1">RANDBETWEEN(30,76)&amp;"%"</f>
        <v>51%</v>
      </c>
      <c r="Q433" s="18">
        <f>PRODUCT(K433,N433)</f>
        <v>23994.000000000004</v>
      </c>
    </row>
    <row r="434" spans="1:17" x14ac:dyDescent="0.45">
      <c r="A434" s="6" t="s">
        <v>368</v>
      </c>
      <c r="B434" s="9" t="s">
        <v>360</v>
      </c>
      <c r="C434" s="6" t="s">
        <v>45</v>
      </c>
      <c r="D434" s="18">
        <f ca="1">RANDBETWEEN(500,1000)</f>
        <v>870</v>
      </c>
      <c r="E434" s="19">
        <v>45415</v>
      </c>
      <c r="F434" s="18">
        <v>38</v>
      </c>
      <c r="G434" s="20">
        <v>0.7</v>
      </c>
      <c r="H434" s="18">
        <f t="shared" ca="1" si="27"/>
        <v>61</v>
      </c>
      <c r="I434" s="18">
        <f t="shared" ca="1" si="28"/>
        <v>173</v>
      </c>
      <c r="J434" s="15">
        <f ca="1">K434-L434</f>
        <v>59</v>
      </c>
      <c r="K434" s="15">
        <v>129</v>
      </c>
      <c r="L434" s="15">
        <f ca="1">RANDBETWEEN(30,87)</f>
        <v>70</v>
      </c>
      <c r="M434" s="11">
        <f ca="1">(L434/J434)</f>
        <v>1.1864406779661016</v>
      </c>
      <c r="N434" s="18">
        <v>89</v>
      </c>
      <c r="O434" s="18" t="str">
        <f t="shared" ca="1" si="29"/>
        <v>Understocked</v>
      </c>
      <c r="P434" s="11" t="str">
        <f ca="1">RANDBETWEEN(30,76)&amp;"%"</f>
        <v>31%</v>
      </c>
      <c r="Q434" s="18">
        <f>PRODUCT(K434,N434)</f>
        <v>11481</v>
      </c>
    </row>
    <row r="435" spans="1:17" x14ac:dyDescent="0.45">
      <c r="A435" s="6" t="s">
        <v>369</v>
      </c>
      <c r="B435" s="9" t="s">
        <v>360</v>
      </c>
      <c r="C435" s="6" t="s">
        <v>45</v>
      </c>
      <c r="D435" s="18">
        <f ca="1">RANDBETWEEN(500,1000)</f>
        <v>975</v>
      </c>
      <c r="E435" s="19">
        <v>45673</v>
      </c>
      <c r="F435" s="18">
        <v>13</v>
      </c>
      <c r="G435" s="20">
        <v>0.68</v>
      </c>
      <c r="H435" s="18">
        <f t="shared" ca="1" si="27"/>
        <v>68</v>
      </c>
      <c r="I435" s="18">
        <f t="shared" ca="1" si="28"/>
        <v>92</v>
      </c>
      <c r="J435" s="15">
        <f ca="1">K435-L435</f>
        <v>124.79999999999998</v>
      </c>
      <c r="K435" s="15">
        <v>197.79999999999998</v>
      </c>
      <c r="L435" s="15">
        <f ca="1">RANDBETWEEN(30,87)</f>
        <v>73</v>
      </c>
      <c r="M435" s="11">
        <f ca="1">(L435/J435)</f>
        <v>0.58493589743589747</v>
      </c>
      <c r="N435" s="18">
        <v>44</v>
      </c>
      <c r="O435" s="18" t="str">
        <f t="shared" ca="1" si="29"/>
        <v>Understocked</v>
      </c>
      <c r="P435" s="11" t="str">
        <f ca="1">RANDBETWEEN(30,76)&amp;"%"</f>
        <v>43%</v>
      </c>
      <c r="Q435" s="18">
        <f>PRODUCT(K435,N435)</f>
        <v>8703.1999999999989</v>
      </c>
    </row>
    <row r="436" spans="1:17" x14ac:dyDescent="0.45">
      <c r="A436" s="6" t="s">
        <v>370</v>
      </c>
      <c r="B436" s="9" t="s">
        <v>360</v>
      </c>
      <c r="C436" s="6" t="s">
        <v>45</v>
      </c>
      <c r="D436" s="18">
        <f ca="1">RANDBETWEEN(500,1000)</f>
        <v>622</v>
      </c>
      <c r="E436" s="19">
        <v>45572</v>
      </c>
      <c r="F436" s="18">
        <v>31</v>
      </c>
      <c r="G436" s="20">
        <v>0.68</v>
      </c>
      <c r="H436" s="18">
        <f t="shared" ca="1" si="27"/>
        <v>55</v>
      </c>
      <c r="I436" s="18">
        <f t="shared" ca="1" si="28"/>
        <v>80</v>
      </c>
      <c r="J436" s="15">
        <f ca="1">K436-L436</f>
        <v>315</v>
      </c>
      <c r="K436" s="15">
        <v>387</v>
      </c>
      <c r="L436" s="15">
        <f ca="1">RANDBETWEEN(30,87)</f>
        <v>72</v>
      </c>
      <c r="M436" s="11">
        <f ca="1">(L436/J436)</f>
        <v>0.22857142857142856</v>
      </c>
      <c r="N436" s="18">
        <v>91</v>
      </c>
      <c r="O436" s="18" t="str">
        <f t="shared" ca="1" si="29"/>
        <v>Understocked</v>
      </c>
      <c r="P436" s="11" t="str">
        <f ca="1">RANDBETWEEN(30,76)&amp;"%"</f>
        <v>74%</v>
      </c>
      <c r="Q436" s="18">
        <f>PRODUCT(K436,N436)</f>
        <v>35217</v>
      </c>
    </row>
    <row r="437" spans="1:17" x14ac:dyDescent="0.45">
      <c r="A437" s="6" t="s">
        <v>432</v>
      </c>
      <c r="B437" s="9" t="s">
        <v>433</v>
      </c>
      <c r="C437" s="6" t="s">
        <v>45</v>
      </c>
      <c r="D437" s="18">
        <f ca="1">RANDBETWEEN(500,1000)</f>
        <v>835</v>
      </c>
      <c r="E437" s="19">
        <v>45627</v>
      </c>
      <c r="F437" s="18">
        <v>25</v>
      </c>
      <c r="G437" s="20">
        <v>0.56000000000000005</v>
      </c>
      <c r="H437" s="18">
        <f t="shared" ca="1" si="27"/>
        <v>77</v>
      </c>
      <c r="I437" s="18">
        <f t="shared" ca="1" si="28"/>
        <v>180</v>
      </c>
      <c r="J437" s="15">
        <f ca="1">K437-L437</f>
        <v>472</v>
      </c>
      <c r="K437" s="15">
        <v>516</v>
      </c>
      <c r="L437" s="15">
        <f ca="1">RANDBETWEEN(30,87)</f>
        <v>44</v>
      </c>
      <c r="M437" s="11">
        <f ca="1">(L437/J437)</f>
        <v>9.3220338983050849E-2</v>
      </c>
      <c r="N437" s="18">
        <v>57</v>
      </c>
      <c r="O437" s="18" t="str">
        <f t="shared" ca="1" si="29"/>
        <v>Understocked</v>
      </c>
      <c r="P437" s="11" t="str">
        <f ca="1">RANDBETWEEN(30,76)&amp;"%"</f>
        <v>37%</v>
      </c>
      <c r="Q437" s="18">
        <f>PRODUCT(K437,N437)</f>
        <v>29412</v>
      </c>
    </row>
    <row r="438" spans="1:17" x14ac:dyDescent="0.45">
      <c r="A438" s="6" t="s">
        <v>434</v>
      </c>
      <c r="B438" s="9" t="s">
        <v>433</v>
      </c>
      <c r="C438" s="6" t="s">
        <v>45</v>
      </c>
      <c r="D438" s="18">
        <f ca="1">RANDBETWEEN(500,1000)</f>
        <v>535</v>
      </c>
      <c r="E438" s="19">
        <v>45578</v>
      </c>
      <c r="F438" s="18">
        <v>74</v>
      </c>
      <c r="G438" s="20">
        <v>0.82</v>
      </c>
      <c r="H438" s="18">
        <f t="shared" ca="1" si="27"/>
        <v>60</v>
      </c>
      <c r="I438" s="18">
        <f t="shared" ca="1" si="28"/>
        <v>151</v>
      </c>
      <c r="J438" s="15">
        <f ca="1">K438-L438</f>
        <v>710</v>
      </c>
      <c r="K438" s="15">
        <v>774</v>
      </c>
      <c r="L438" s="15">
        <f ca="1">RANDBETWEEN(30,87)</f>
        <v>64</v>
      </c>
      <c r="M438" s="11">
        <f ca="1">(L438/J438)</f>
        <v>9.014084507042254E-2</v>
      </c>
      <c r="N438" s="18">
        <v>82</v>
      </c>
      <c r="O438" s="18" t="str">
        <f t="shared" ca="1" si="29"/>
        <v>Optimal</v>
      </c>
      <c r="P438" s="11" t="str">
        <f ca="1">RANDBETWEEN(30,76)&amp;"%"</f>
        <v>46%</v>
      </c>
      <c r="Q438" s="18">
        <f>PRODUCT(K438,N438)</f>
        <v>63468</v>
      </c>
    </row>
    <row r="439" spans="1:17" x14ac:dyDescent="0.45">
      <c r="A439" s="6" t="s">
        <v>435</v>
      </c>
      <c r="B439" s="9" t="s">
        <v>433</v>
      </c>
      <c r="C439" s="6" t="s">
        <v>45</v>
      </c>
      <c r="D439" s="18">
        <f ca="1">RANDBETWEEN(500,1000)</f>
        <v>590</v>
      </c>
      <c r="E439" s="19">
        <v>45392</v>
      </c>
      <c r="F439" s="18">
        <v>91</v>
      </c>
      <c r="G439" s="20">
        <v>0.9</v>
      </c>
      <c r="H439" s="18">
        <f t="shared" ca="1" si="27"/>
        <v>59</v>
      </c>
      <c r="I439" s="18">
        <f t="shared" ca="1" si="28"/>
        <v>128</v>
      </c>
      <c r="J439" s="15">
        <f ca="1">K439-L439</f>
        <v>690</v>
      </c>
      <c r="K439" s="15">
        <v>774</v>
      </c>
      <c r="L439" s="15">
        <f ca="1">RANDBETWEEN(30,87)</f>
        <v>84</v>
      </c>
      <c r="M439" s="11">
        <f ca="1">(L439/J439)</f>
        <v>0.12173913043478261</v>
      </c>
      <c r="N439" s="18">
        <v>42</v>
      </c>
      <c r="O439" s="18" t="str">
        <f t="shared" ca="1" si="29"/>
        <v>Optimal</v>
      </c>
      <c r="P439" s="11" t="str">
        <f ca="1">RANDBETWEEN(30,76)&amp;"%"</f>
        <v>55%</v>
      </c>
      <c r="Q439" s="18">
        <f>PRODUCT(K439,N439)</f>
        <v>32508</v>
      </c>
    </row>
    <row r="440" spans="1:17" x14ac:dyDescent="0.45">
      <c r="A440" s="6" t="s">
        <v>436</v>
      </c>
      <c r="B440" s="9" t="s">
        <v>433</v>
      </c>
      <c r="C440" s="6" t="s">
        <v>45</v>
      </c>
      <c r="D440" s="18">
        <f ca="1">RANDBETWEEN(500,1000)</f>
        <v>556</v>
      </c>
      <c r="E440" s="19">
        <v>45490</v>
      </c>
      <c r="F440" s="18">
        <v>97</v>
      </c>
      <c r="G440" s="20">
        <v>0.73</v>
      </c>
      <c r="H440" s="18">
        <f t="shared" ca="1" si="27"/>
        <v>57</v>
      </c>
      <c r="I440" s="18">
        <f t="shared" ca="1" si="28"/>
        <v>137</v>
      </c>
      <c r="J440" s="15">
        <f ca="1">K440-L440</f>
        <v>462</v>
      </c>
      <c r="K440" s="15">
        <v>516</v>
      </c>
      <c r="L440" s="15">
        <f ca="1">RANDBETWEEN(30,87)</f>
        <v>54</v>
      </c>
      <c r="M440" s="11">
        <f ca="1">(L440/J440)</f>
        <v>0.11688311688311688</v>
      </c>
      <c r="N440" s="18">
        <v>22</v>
      </c>
      <c r="O440" s="18" t="str">
        <f t="shared" ca="1" si="29"/>
        <v>Optimal</v>
      </c>
      <c r="P440" s="11" t="str">
        <f ca="1">RANDBETWEEN(30,76)&amp;"%"</f>
        <v>48%</v>
      </c>
      <c r="Q440" s="18">
        <f>PRODUCT(K440,N440)</f>
        <v>11352</v>
      </c>
    </row>
    <row r="441" spans="1:17" x14ac:dyDescent="0.45">
      <c r="A441" s="6" t="s">
        <v>437</v>
      </c>
      <c r="B441" s="9" t="s">
        <v>433</v>
      </c>
      <c r="C441" s="6" t="s">
        <v>45</v>
      </c>
      <c r="D441" s="18">
        <f ca="1">RANDBETWEEN(500,1000)</f>
        <v>605</v>
      </c>
      <c r="E441" s="19">
        <v>45413</v>
      </c>
      <c r="F441" s="18">
        <v>39</v>
      </c>
      <c r="G441" s="20">
        <v>0.37</v>
      </c>
      <c r="H441" s="18">
        <f t="shared" ca="1" si="27"/>
        <v>64</v>
      </c>
      <c r="I441" s="18">
        <f t="shared" ca="1" si="28"/>
        <v>74</v>
      </c>
      <c r="J441" s="15">
        <f ca="1">K441-L441</f>
        <v>970</v>
      </c>
      <c r="K441" s="15">
        <v>1032</v>
      </c>
      <c r="L441" s="15">
        <f ca="1">RANDBETWEEN(30,87)</f>
        <v>62</v>
      </c>
      <c r="M441" s="11">
        <f ca="1">(L441/J441)</f>
        <v>6.3917525773195871E-2</v>
      </c>
      <c r="N441" s="18">
        <v>51</v>
      </c>
      <c r="O441" s="18" t="str">
        <f t="shared" ca="1" si="29"/>
        <v>Understocked</v>
      </c>
      <c r="P441" s="11" t="str">
        <f ca="1">RANDBETWEEN(30,76)&amp;"%"</f>
        <v>44%</v>
      </c>
      <c r="Q441" s="18">
        <f>PRODUCT(K441,N441)</f>
        <v>52632</v>
      </c>
    </row>
    <row r="442" spans="1:17" x14ac:dyDescent="0.45">
      <c r="A442" s="6" t="s">
        <v>438</v>
      </c>
      <c r="B442" s="9" t="s">
        <v>433</v>
      </c>
      <c r="C442" s="6" t="s">
        <v>45</v>
      </c>
      <c r="D442" s="18">
        <f ca="1">RANDBETWEEN(500,1000)</f>
        <v>661</v>
      </c>
      <c r="E442" s="19">
        <v>45694</v>
      </c>
      <c r="F442" s="18">
        <v>97</v>
      </c>
      <c r="G442" s="20">
        <v>0.77</v>
      </c>
      <c r="H442" s="18">
        <f t="shared" ca="1" si="27"/>
        <v>57</v>
      </c>
      <c r="I442" s="18">
        <f t="shared" ca="1" si="28"/>
        <v>167</v>
      </c>
      <c r="J442" s="15">
        <f ca="1">K442-L442</f>
        <v>324.5</v>
      </c>
      <c r="K442" s="15">
        <v>408.5</v>
      </c>
      <c r="L442" s="15">
        <f ca="1">RANDBETWEEN(30,87)</f>
        <v>84</v>
      </c>
      <c r="M442" s="11">
        <f ca="1">(L442/J442)</f>
        <v>0.25885978428351308</v>
      </c>
      <c r="N442" s="18">
        <v>29</v>
      </c>
      <c r="O442" s="18" t="str">
        <f t="shared" ca="1" si="29"/>
        <v>Optimal</v>
      </c>
      <c r="P442" s="11" t="str">
        <f ca="1">RANDBETWEEN(30,76)&amp;"%"</f>
        <v>40%</v>
      </c>
      <c r="Q442" s="18">
        <f>PRODUCT(K442,N442)</f>
        <v>11846.5</v>
      </c>
    </row>
    <row r="443" spans="1:17" x14ac:dyDescent="0.45">
      <c r="A443" s="6" t="s">
        <v>439</v>
      </c>
      <c r="B443" s="9" t="s">
        <v>433</v>
      </c>
      <c r="C443" s="6" t="s">
        <v>45</v>
      </c>
      <c r="D443" s="18">
        <f ca="1">RANDBETWEEN(500,1000)</f>
        <v>996</v>
      </c>
      <c r="E443" s="19">
        <v>45549</v>
      </c>
      <c r="F443" s="18">
        <v>17</v>
      </c>
      <c r="G443" s="20">
        <v>0.87</v>
      </c>
      <c r="H443" s="18">
        <f t="shared" ca="1" si="27"/>
        <v>54</v>
      </c>
      <c r="I443" s="18">
        <f t="shared" ca="1" si="28"/>
        <v>113</v>
      </c>
      <c r="J443" s="15">
        <f ca="1">K443-L443</f>
        <v>162</v>
      </c>
      <c r="K443" s="15">
        <v>215</v>
      </c>
      <c r="L443" s="15">
        <f ca="1">RANDBETWEEN(30,87)</f>
        <v>53</v>
      </c>
      <c r="M443" s="11">
        <f ca="1">(L443/J443)</f>
        <v>0.3271604938271605</v>
      </c>
      <c r="N443" s="18">
        <v>49</v>
      </c>
      <c r="O443" s="18" t="str">
        <f t="shared" ca="1" si="29"/>
        <v>Understocked</v>
      </c>
      <c r="P443" s="11" t="str">
        <f ca="1">RANDBETWEEN(30,76)&amp;"%"</f>
        <v>43%</v>
      </c>
      <c r="Q443" s="18">
        <f>PRODUCT(K443,N443)</f>
        <v>10535</v>
      </c>
    </row>
    <row r="444" spans="1:17" x14ac:dyDescent="0.45">
      <c r="A444" s="6" t="s">
        <v>440</v>
      </c>
      <c r="B444" s="9" t="s">
        <v>433</v>
      </c>
      <c r="C444" s="6" t="s">
        <v>45</v>
      </c>
      <c r="D444" s="18">
        <f ca="1">RANDBETWEEN(500,1000)</f>
        <v>887</v>
      </c>
      <c r="E444" s="19">
        <v>45444</v>
      </c>
      <c r="F444" s="18">
        <v>47</v>
      </c>
      <c r="G444" s="20">
        <v>0.32</v>
      </c>
      <c r="H444" s="18">
        <f t="shared" ca="1" si="27"/>
        <v>55</v>
      </c>
      <c r="I444" s="18">
        <f t="shared" ca="1" si="28"/>
        <v>162</v>
      </c>
      <c r="J444" s="15">
        <f ca="1">K444-L444</f>
        <v>120</v>
      </c>
      <c r="K444" s="15">
        <v>172</v>
      </c>
      <c r="L444" s="15">
        <f ca="1">RANDBETWEEN(30,87)</f>
        <v>52</v>
      </c>
      <c r="M444" s="11">
        <f ca="1">(L444/J444)</f>
        <v>0.43333333333333335</v>
      </c>
      <c r="N444" s="18">
        <v>39</v>
      </c>
      <c r="O444" s="18" t="str">
        <f t="shared" ca="1" si="29"/>
        <v>Understocked</v>
      </c>
      <c r="P444" s="11" t="str">
        <f ca="1">RANDBETWEEN(30,76)&amp;"%"</f>
        <v>41%</v>
      </c>
      <c r="Q444" s="18">
        <f>PRODUCT(K444,N444)</f>
        <v>6708</v>
      </c>
    </row>
    <row r="445" spans="1:17" x14ac:dyDescent="0.45">
      <c r="A445" s="6" t="s">
        <v>441</v>
      </c>
      <c r="B445" s="9" t="s">
        <v>433</v>
      </c>
      <c r="C445" s="6" t="s">
        <v>45</v>
      </c>
      <c r="D445" s="18">
        <f ca="1">RANDBETWEEN(500,1000)</f>
        <v>821</v>
      </c>
      <c r="E445" s="19">
        <v>45515</v>
      </c>
      <c r="F445" s="18">
        <v>49</v>
      </c>
      <c r="G445" s="20">
        <v>0.79</v>
      </c>
      <c r="H445" s="18">
        <f t="shared" ca="1" si="27"/>
        <v>51</v>
      </c>
      <c r="I445" s="18">
        <f t="shared" ca="1" si="28"/>
        <v>124</v>
      </c>
      <c r="J445" s="15">
        <f ca="1">K445-L445</f>
        <v>432</v>
      </c>
      <c r="K445" s="15">
        <v>473</v>
      </c>
      <c r="L445" s="15">
        <f ca="1">RANDBETWEEN(30,87)</f>
        <v>41</v>
      </c>
      <c r="M445" s="11">
        <f ca="1">(L445/J445)</f>
        <v>9.4907407407407413E-2</v>
      </c>
      <c r="N445" s="18">
        <v>37</v>
      </c>
      <c r="O445" s="18" t="str">
        <f t="shared" ca="1" si="29"/>
        <v>Understocked</v>
      </c>
      <c r="P445" s="11" t="str">
        <f ca="1">RANDBETWEEN(30,76)&amp;"%"</f>
        <v>32%</v>
      </c>
      <c r="Q445" s="18">
        <f>PRODUCT(K445,N445)</f>
        <v>17501</v>
      </c>
    </row>
    <row r="446" spans="1:17" x14ac:dyDescent="0.45">
      <c r="A446" s="6" t="s">
        <v>442</v>
      </c>
      <c r="B446" s="9" t="s">
        <v>433</v>
      </c>
      <c r="C446" s="6" t="s">
        <v>45</v>
      </c>
      <c r="D446" s="18">
        <f ca="1">RANDBETWEEN(500,1000)</f>
        <v>932</v>
      </c>
      <c r="E446" s="19">
        <v>45428</v>
      </c>
      <c r="F446" s="18">
        <v>31</v>
      </c>
      <c r="G446" s="20">
        <v>0.5</v>
      </c>
      <c r="H446" s="18">
        <f t="shared" ca="1" si="27"/>
        <v>73</v>
      </c>
      <c r="I446" s="18">
        <f t="shared" ca="1" si="28"/>
        <v>102</v>
      </c>
      <c r="J446" s="15">
        <f ca="1">K446-L446</f>
        <v>344.40000000000003</v>
      </c>
      <c r="K446" s="15">
        <v>378.40000000000003</v>
      </c>
      <c r="L446" s="15">
        <f ca="1">RANDBETWEEN(30,87)</f>
        <v>34</v>
      </c>
      <c r="M446" s="11">
        <f ca="1">(L446/J446)</f>
        <v>9.8722415795586521E-2</v>
      </c>
      <c r="N446" s="18">
        <v>46</v>
      </c>
      <c r="O446" s="18" t="str">
        <f t="shared" ca="1" si="29"/>
        <v>Understocked</v>
      </c>
      <c r="P446" s="11" t="str">
        <f ca="1">RANDBETWEEN(30,76)&amp;"%"</f>
        <v>62%</v>
      </c>
      <c r="Q446" s="18">
        <f>PRODUCT(K446,N446)</f>
        <v>17406.400000000001</v>
      </c>
    </row>
    <row r="447" spans="1:17" x14ac:dyDescent="0.45">
      <c r="A447" s="6" t="s">
        <v>459</v>
      </c>
      <c r="B447" s="9" t="s">
        <v>460</v>
      </c>
      <c r="C447" s="6" t="s">
        <v>45</v>
      </c>
      <c r="D447" s="18">
        <f ca="1">RANDBETWEEN(500,1000)</f>
        <v>559</v>
      </c>
      <c r="E447" s="19">
        <v>45501</v>
      </c>
      <c r="F447" s="18">
        <v>27</v>
      </c>
      <c r="G447" s="20">
        <v>0.88</v>
      </c>
      <c r="H447" s="18">
        <f t="shared" ca="1" si="27"/>
        <v>62</v>
      </c>
      <c r="I447" s="18">
        <f t="shared" ca="1" si="28"/>
        <v>73</v>
      </c>
      <c r="J447" s="15">
        <f ca="1">K447-L447</f>
        <v>498</v>
      </c>
      <c r="K447" s="15">
        <v>559</v>
      </c>
      <c r="L447" s="15">
        <f ca="1">RANDBETWEEN(30,87)</f>
        <v>61</v>
      </c>
      <c r="M447" s="11">
        <f ca="1">(L447/J447)</f>
        <v>0.12248995983935743</v>
      </c>
      <c r="N447" s="18">
        <v>91</v>
      </c>
      <c r="O447" s="18" t="str">
        <f t="shared" ca="1" si="29"/>
        <v>Understocked</v>
      </c>
      <c r="P447" s="11" t="str">
        <f ca="1">RANDBETWEEN(30,76)&amp;"%"</f>
        <v>55%</v>
      </c>
      <c r="Q447" s="18">
        <f>PRODUCT(K447,N447)</f>
        <v>50869</v>
      </c>
    </row>
    <row r="448" spans="1:17" x14ac:dyDescent="0.45">
      <c r="A448" s="6" t="s">
        <v>461</v>
      </c>
      <c r="B448" s="9" t="s">
        <v>460</v>
      </c>
      <c r="C448" s="6" t="s">
        <v>45</v>
      </c>
      <c r="D448" s="18">
        <f ca="1">RANDBETWEEN(500,1000)</f>
        <v>780</v>
      </c>
      <c r="E448" s="19">
        <v>45669</v>
      </c>
      <c r="F448" s="18">
        <v>33</v>
      </c>
      <c r="G448" s="20">
        <v>0.79</v>
      </c>
      <c r="H448" s="18">
        <f t="shared" ca="1" si="27"/>
        <v>55</v>
      </c>
      <c r="I448" s="18">
        <f t="shared" ca="1" si="28"/>
        <v>111</v>
      </c>
      <c r="J448" s="15">
        <f ca="1">K448-L448</f>
        <v>92</v>
      </c>
      <c r="K448" s="15">
        <v>129</v>
      </c>
      <c r="L448" s="15">
        <f ca="1">RANDBETWEEN(30,87)</f>
        <v>37</v>
      </c>
      <c r="M448" s="11">
        <f ca="1">(L448/J448)</f>
        <v>0.40217391304347827</v>
      </c>
      <c r="N448" s="18">
        <v>46</v>
      </c>
      <c r="O448" s="18" t="str">
        <f t="shared" ca="1" si="29"/>
        <v>Understocked</v>
      </c>
      <c r="P448" s="11" t="str">
        <f ca="1">RANDBETWEEN(30,76)&amp;"%"</f>
        <v>68%</v>
      </c>
      <c r="Q448" s="18">
        <f>PRODUCT(K448,N448)</f>
        <v>5934</v>
      </c>
    </row>
    <row r="449" spans="1:17" x14ac:dyDescent="0.45">
      <c r="A449" s="6" t="s">
        <v>462</v>
      </c>
      <c r="B449" s="9" t="s">
        <v>460</v>
      </c>
      <c r="C449" s="6" t="s">
        <v>45</v>
      </c>
      <c r="D449" s="18">
        <f ca="1">RANDBETWEEN(500,1000)</f>
        <v>564</v>
      </c>
      <c r="E449" s="19">
        <v>45528</v>
      </c>
      <c r="F449" s="18">
        <v>76</v>
      </c>
      <c r="G449" s="20">
        <v>0.84</v>
      </c>
      <c r="H449" s="18">
        <f t="shared" ca="1" si="27"/>
        <v>57</v>
      </c>
      <c r="I449" s="18">
        <f t="shared" ca="1" si="28"/>
        <v>196</v>
      </c>
      <c r="J449" s="15">
        <f ca="1">K449-L449</f>
        <v>695</v>
      </c>
      <c r="K449" s="15">
        <v>774</v>
      </c>
      <c r="L449" s="15">
        <f ca="1">RANDBETWEEN(30,87)</f>
        <v>79</v>
      </c>
      <c r="M449" s="11">
        <f ca="1">(L449/J449)</f>
        <v>0.11366906474820145</v>
      </c>
      <c r="N449" s="18">
        <v>52</v>
      </c>
      <c r="O449" s="18" t="str">
        <f t="shared" ca="1" si="29"/>
        <v>Optimal</v>
      </c>
      <c r="P449" s="11" t="str">
        <f ca="1">RANDBETWEEN(30,76)&amp;"%"</f>
        <v>73%</v>
      </c>
      <c r="Q449" s="18">
        <f>PRODUCT(K449,N449)</f>
        <v>40248</v>
      </c>
    </row>
    <row r="450" spans="1:17" x14ac:dyDescent="0.45">
      <c r="A450" s="6" t="s">
        <v>463</v>
      </c>
      <c r="B450" s="9" t="s">
        <v>460</v>
      </c>
      <c r="C450" s="6" t="s">
        <v>45</v>
      </c>
      <c r="D450" s="18">
        <f ca="1">RANDBETWEEN(500,1000)</f>
        <v>874</v>
      </c>
      <c r="E450" s="19">
        <v>45567</v>
      </c>
      <c r="F450" s="18">
        <v>43</v>
      </c>
      <c r="G450" s="20">
        <v>0.64</v>
      </c>
      <c r="H450" s="18">
        <f t="shared" ca="1" si="27"/>
        <v>57</v>
      </c>
      <c r="I450" s="18">
        <f t="shared" ca="1" si="28"/>
        <v>199</v>
      </c>
      <c r="J450" s="15">
        <f ca="1">K450-L450</f>
        <v>130.79999999999998</v>
      </c>
      <c r="K450" s="15">
        <v>197.79999999999998</v>
      </c>
      <c r="L450" s="15">
        <f ca="1">RANDBETWEEN(30,87)</f>
        <v>67</v>
      </c>
      <c r="M450" s="11">
        <f ca="1">(L450/J450)</f>
        <v>0.51223241590214075</v>
      </c>
      <c r="N450" s="18">
        <v>95</v>
      </c>
      <c r="O450" s="18" t="str">
        <f t="shared" ca="1" si="29"/>
        <v>Understocked</v>
      </c>
      <c r="P450" s="11" t="str">
        <f ca="1">RANDBETWEEN(30,76)&amp;"%"</f>
        <v>68%</v>
      </c>
      <c r="Q450" s="18">
        <f>PRODUCT(K450,N450)</f>
        <v>18791</v>
      </c>
    </row>
    <row r="451" spans="1:17" x14ac:dyDescent="0.45">
      <c r="A451" s="6" t="s">
        <v>472</v>
      </c>
      <c r="B451" s="9" t="s">
        <v>473</v>
      </c>
      <c r="C451" s="6" t="s">
        <v>45</v>
      </c>
      <c r="D451" s="18">
        <f ca="1">RANDBETWEEN(500,1000)</f>
        <v>577</v>
      </c>
      <c r="E451" s="19">
        <v>45625</v>
      </c>
      <c r="F451" s="18">
        <v>59</v>
      </c>
      <c r="G451" s="20">
        <v>0.39</v>
      </c>
      <c r="H451" s="18">
        <f t="shared" ca="1" si="27"/>
        <v>69</v>
      </c>
      <c r="I451" s="18">
        <f t="shared" ca="1" si="28"/>
        <v>91</v>
      </c>
      <c r="J451" s="15">
        <f ca="1">K451-L451</f>
        <v>133</v>
      </c>
      <c r="K451" s="15">
        <v>172</v>
      </c>
      <c r="L451" s="15">
        <f ca="1">RANDBETWEEN(30,87)</f>
        <v>39</v>
      </c>
      <c r="M451" s="11">
        <f ca="1">(L451/J451)</f>
        <v>0.2932330827067669</v>
      </c>
      <c r="N451" s="18">
        <v>74</v>
      </c>
      <c r="O451" s="18" t="str">
        <f t="shared" ca="1" si="29"/>
        <v>Understocked</v>
      </c>
      <c r="P451" s="11" t="str">
        <f ca="1">RANDBETWEEN(30,76)&amp;"%"</f>
        <v>49%</v>
      </c>
      <c r="Q451" s="18">
        <f>PRODUCT(K451,N451)</f>
        <v>12728</v>
      </c>
    </row>
    <row r="452" spans="1:17" x14ac:dyDescent="0.45">
      <c r="A452" s="6" t="s">
        <v>474</v>
      </c>
      <c r="B452" s="9" t="s">
        <v>473</v>
      </c>
      <c r="C452" s="6" t="s">
        <v>45</v>
      </c>
      <c r="D452" s="18">
        <f ca="1">RANDBETWEEN(500,1000)</f>
        <v>526</v>
      </c>
      <c r="E452" s="19">
        <v>45633</v>
      </c>
      <c r="F452" s="18">
        <v>25</v>
      </c>
      <c r="G452" s="20">
        <v>0.61</v>
      </c>
      <c r="H452" s="18">
        <f t="shared" ca="1" si="27"/>
        <v>59</v>
      </c>
      <c r="I452" s="18">
        <f t="shared" ca="1" si="28"/>
        <v>74</v>
      </c>
      <c r="J452" s="15">
        <f ca="1">K452-L452</f>
        <v>614</v>
      </c>
      <c r="K452" s="15">
        <v>688</v>
      </c>
      <c r="L452" s="15">
        <f ca="1">RANDBETWEEN(30,87)</f>
        <v>74</v>
      </c>
      <c r="M452" s="11">
        <f ca="1">(L452/J452)</f>
        <v>0.12052117263843648</v>
      </c>
      <c r="N452" s="18">
        <v>41</v>
      </c>
      <c r="O452" s="18" t="str">
        <f t="shared" ca="1" si="29"/>
        <v>Understocked</v>
      </c>
      <c r="P452" s="11" t="str">
        <f ca="1">RANDBETWEEN(30,76)&amp;"%"</f>
        <v>59%</v>
      </c>
      <c r="Q452" s="18">
        <f>PRODUCT(K452,N452)</f>
        <v>28208</v>
      </c>
    </row>
    <row r="453" spans="1:17" x14ac:dyDescent="0.45">
      <c r="A453" s="6" t="s">
        <v>475</v>
      </c>
      <c r="B453" s="9" t="s">
        <v>473</v>
      </c>
      <c r="C453" s="6" t="s">
        <v>45</v>
      </c>
      <c r="D453" s="18">
        <f ca="1">RANDBETWEEN(500,1000)</f>
        <v>738</v>
      </c>
      <c r="E453" s="19">
        <v>45669</v>
      </c>
      <c r="F453" s="18">
        <v>37</v>
      </c>
      <c r="G453" s="20">
        <v>0.74</v>
      </c>
      <c r="H453" s="18">
        <f t="shared" ca="1" si="27"/>
        <v>58</v>
      </c>
      <c r="I453" s="18">
        <f t="shared" ca="1" si="28"/>
        <v>145</v>
      </c>
      <c r="J453" s="15">
        <f ca="1">K453-L453</f>
        <v>86.5</v>
      </c>
      <c r="K453" s="15">
        <v>150.5</v>
      </c>
      <c r="L453" s="15">
        <f ca="1">RANDBETWEEN(30,87)</f>
        <v>64</v>
      </c>
      <c r="M453" s="11">
        <f ca="1">(L453/J453)</f>
        <v>0.73988439306358378</v>
      </c>
      <c r="N453" s="18">
        <v>34</v>
      </c>
      <c r="O453" s="18" t="str">
        <f t="shared" ca="1" si="29"/>
        <v>Understocked</v>
      </c>
      <c r="P453" s="11" t="str">
        <f ca="1">RANDBETWEEN(30,76)&amp;"%"</f>
        <v>37%</v>
      </c>
      <c r="Q453" s="18">
        <f>PRODUCT(K453,N453)</f>
        <v>5117</v>
      </c>
    </row>
    <row r="454" spans="1:17" x14ac:dyDescent="0.45">
      <c r="A454" s="6" t="s">
        <v>476</v>
      </c>
      <c r="B454" s="9" t="s">
        <v>473</v>
      </c>
      <c r="C454" s="6" t="s">
        <v>45</v>
      </c>
      <c r="D454" s="18">
        <f ca="1">RANDBETWEEN(500,1000)</f>
        <v>961</v>
      </c>
      <c r="E454" s="19">
        <v>45376</v>
      </c>
      <c r="F454" s="18">
        <v>87</v>
      </c>
      <c r="G454" s="20">
        <v>0.83</v>
      </c>
      <c r="H454" s="18">
        <f t="shared" ca="1" si="27"/>
        <v>78</v>
      </c>
      <c r="I454" s="18">
        <f t="shared" ca="1" si="28"/>
        <v>194</v>
      </c>
      <c r="J454" s="15">
        <f ca="1">K454-L454</f>
        <v>48.2</v>
      </c>
      <c r="K454" s="15">
        <v>103.2</v>
      </c>
      <c r="L454" s="15">
        <f ca="1">RANDBETWEEN(30,87)</f>
        <v>55</v>
      </c>
      <c r="M454" s="11">
        <f ca="1">(L454/J454)</f>
        <v>1.1410788381742738</v>
      </c>
      <c r="N454" s="18">
        <v>22</v>
      </c>
      <c r="O454" s="18" t="str">
        <f t="shared" ca="1" si="29"/>
        <v>Optimal</v>
      </c>
      <c r="P454" s="11" t="str">
        <f ca="1">RANDBETWEEN(30,76)&amp;"%"</f>
        <v>64%</v>
      </c>
      <c r="Q454" s="18">
        <f>PRODUCT(K454,N454)</f>
        <v>2270.4</v>
      </c>
    </row>
    <row r="455" spans="1:17" x14ac:dyDescent="0.45">
      <c r="A455" s="6" t="s">
        <v>477</v>
      </c>
      <c r="B455" s="9" t="s">
        <v>473</v>
      </c>
      <c r="C455" s="6" t="s">
        <v>45</v>
      </c>
      <c r="D455" s="18">
        <f ca="1">RANDBETWEEN(500,1000)</f>
        <v>728</v>
      </c>
      <c r="E455" s="19">
        <v>45696</v>
      </c>
      <c r="F455" s="18">
        <v>30</v>
      </c>
      <c r="G455" s="20">
        <v>0.32</v>
      </c>
      <c r="H455" s="18">
        <f t="shared" ca="1" si="27"/>
        <v>57</v>
      </c>
      <c r="I455" s="18">
        <f t="shared" ca="1" si="28"/>
        <v>169</v>
      </c>
      <c r="J455" s="15">
        <f ca="1">K455-L455</f>
        <v>212</v>
      </c>
      <c r="K455" s="15">
        <v>258</v>
      </c>
      <c r="L455" s="15">
        <f ca="1">RANDBETWEEN(30,87)</f>
        <v>46</v>
      </c>
      <c r="M455" s="11">
        <f ca="1">(L455/J455)</f>
        <v>0.21698113207547171</v>
      </c>
      <c r="N455" s="18">
        <v>63</v>
      </c>
      <c r="O455" s="18" t="str">
        <f t="shared" ca="1" si="29"/>
        <v>Understocked</v>
      </c>
      <c r="P455" s="11" t="str">
        <f ca="1">RANDBETWEEN(30,76)&amp;"%"</f>
        <v>42%</v>
      </c>
      <c r="Q455" s="18">
        <f>PRODUCT(K455,N455)</f>
        <v>16254</v>
      </c>
    </row>
    <row r="456" spans="1:17" x14ac:dyDescent="0.45">
      <c r="A456" s="6" t="s">
        <v>478</v>
      </c>
      <c r="B456" s="9" t="s">
        <v>473</v>
      </c>
      <c r="C456" s="6" t="s">
        <v>45</v>
      </c>
      <c r="D456" s="18">
        <f ca="1">RANDBETWEEN(500,1000)</f>
        <v>792</v>
      </c>
      <c r="E456" s="19">
        <v>45467</v>
      </c>
      <c r="F456" s="18">
        <v>38</v>
      </c>
      <c r="G456" s="20">
        <v>0.68</v>
      </c>
      <c r="H456" s="18">
        <f t="shared" ca="1" si="27"/>
        <v>75</v>
      </c>
      <c r="I456" s="18">
        <f t="shared" ca="1" si="28"/>
        <v>102</v>
      </c>
      <c r="J456" s="15">
        <f ca="1">K456-L456</f>
        <v>176</v>
      </c>
      <c r="K456" s="15">
        <v>258</v>
      </c>
      <c r="L456" s="15">
        <f ca="1">RANDBETWEEN(30,87)</f>
        <v>82</v>
      </c>
      <c r="M456" s="11">
        <f ca="1">(L456/J456)</f>
        <v>0.46590909090909088</v>
      </c>
      <c r="N456" s="18">
        <v>59</v>
      </c>
      <c r="O456" s="18" t="str">
        <f t="shared" ca="1" si="29"/>
        <v>Understocked</v>
      </c>
      <c r="P456" s="11" t="str">
        <f ca="1">RANDBETWEEN(30,76)&amp;"%"</f>
        <v>39%</v>
      </c>
      <c r="Q456" s="18">
        <f>PRODUCT(K456,N456)</f>
        <v>15222</v>
      </c>
    </row>
    <row r="457" spans="1:17" x14ac:dyDescent="0.45">
      <c r="A457" s="6" t="s">
        <v>479</v>
      </c>
      <c r="B457" s="9" t="s">
        <v>473</v>
      </c>
      <c r="C457" s="6" t="s">
        <v>45</v>
      </c>
      <c r="D457" s="18">
        <f ca="1">RANDBETWEEN(500,1000)</f>
        <v>585</v>
      </c>
      <c r="E457" s="19">
        <v>45458</v>
      </c>
      <c r="F457" s="18">
        <v>22</v>
      </c>
      <c r="G457" s="20">
        <v>0.39</v>
      </c>
      <c r="H457" s="18">
        <f t="shared" ca="1" si="27"/>
        <v>69</v>
      </c>
      <c r="I457" s="18">
        <f t="shared" ca="1" si="28"/>
        <v>70</v>
      </c>
      <c r="J457" s="15">
        <f ca="1">K457-L457</f>
        <v>257</v>
      </c>
      <c r="K457" s="15">
        <v>301</v>
      </c>
      <c r="L457" s="15">
        <f ca="1">RANDBETWEEN(30,87)</f>
        <v>44</v>
      </c>
      <c r="M457" s="11">
        <f ca="1">(L457/J457)</f>
        <v>0.17120622568093385</v>
      </c>
      <c r="N457" s="18">
        <v>34</v>
      </c>
      <c r="O457" s="18" t="str">
        <f t="shared" ca="1" si="29"/>
        <v>Understocked</v>
      </c>
      <c r="P457" s="11" t="str">
        <f ca="1">RANDBETWEEN(30,76)&amp;"%"</f>
        <v>37%</v>
      </c>
      <c r="Q457" s="18">
        <f>PRODUCT(K457,N457)</f>
        <v>10234</v>
      </c>
    </row>
    <row r="458" spans="1:17" x14ac:dyDescent="0.45">
      <c r="A458" s="6" t="s">
        <v>480</v>
      </c>
      <c r="B458" s="9" t="s">
        <v>473</v>
      </c>
      <c r="C458" s="6" t="s">
        <v>45</v>
      </c>
      <c r="D458" s="18">
        <f ca="1">RANDBETWEEN(500,1000)</f>
        <v>654</v>
      </c>
      <c r="E458" s="19">
        <v>45436</v>
      </c>
      <c r="F458" s="18">
        <v>54</v>
      </c>
      <c r="G458" s="20">
        <v>0.35</v>
      </c>
      <c r="H458" s="18">
        <f t="shared" ca="1" si="27"/>
        <v>59</v>
      </c>
      <c r="I458" s="18">
        <f t="shared" ca="1" si="28"/>
        <v>87</v>
      </c>
      <c r="J458" s="15">
        <f ca="1">K458-L458</f>
        <v>202</v>
      </c>
      <c r="K458" s="15">
        <v>258</v>
      </c>
      <c r="L458" s="15">
        <f ca="1">RANDBETWEEN(30,87)</f>
        <v>56</v>
      </c>
      <c r="M458" s="11">
        <f ca="1">(L458/J458)</f>
        <v>0.27722772277227725</v>
      </c>
      <c r="N458" s="18">
        <v>81</v>
      </c>
      <c r="O458" s="18" t="str">
        <f t="shared" ca="1" si="29"/>
        <v>Understocked</v>
      </c>
      <c r="P458" s="11" t="str">
        <f ca="1">RANDBETWEEN(30,76)&amp;"%"</f>
        <v>36%</v>
      </c>
      <c r="Q458" s="18">
        <f>PRODUCT(K458,N458)</f>
        <v>20898</v>
      </c>
    </row>
    <row r="459" spans="1:17" x14ac:dyDescent="0.45">
      <c r="A459" s="6" t="s">
        <v>481</v>
      </c>
      <c r="B459" s="9" t="s">
        <v>473</v>
      </c>
      <c r="C459" s="6" t="s">
        <v>45</v>
      </c>
      <c r="D459" s="18">
        <f ca="1">RANDBETWEEN(500,1000)</f>
        <v>816</v>
      </c>
      <c r="E459" s="19">
        <v>45412</v>
      </c>
      <c r="F459" s="18">
        <v>88</v>
      </c>
      <c r="G459" s="20">
        <v>0.44</v>
      </c>
      <c r="H459" s="18">
        <f t="shared" ca="1" si="27"/>
        <v>69</v>
      </c>
      <c r="I459" s="18">
        <f t="shared" ca="1" si="28"/>
        <v>120</v>
      </c>
      <c r="J459" s="15">
        <f ca="1">K459-L459</f>
        <v>470</v>
      </c>
      <c r="K459" s="15">
        <v>516</v>
      </c>
      <c r="L459" s="15">
        <f ca="1">RANDBETWEEN(30,87)</f>
        <v>46</v>
      </c>
      <c r="M459" s="11">
        <f ca="1">(L459/J459)</f>
        <v>9.7872340425531917E-2</v>
      </c>
      <c r="N459" s="18">
        <v>57</v>
      </c>
      <c r="O459" s="18" t="str">
        <f t="shared" ca="1" si="29"/>
        <v>Optimal</v>
      </c>
      <c r="P459" s="11" t="str">
        <f ca="1">RANDBETWEEN(30,76)&amp;"%"</f>
        <v>56%</v>
      </c>
      <c r="Q459" s="18">
        <f>PRODUCT(K459,N459)</f>
        <v>29412</v>
      </c>
    </row>
    <row r="460" spans="1:17" x14ac:dyDescent="0.45">
      <c r="A460" s="6" t="s">
        <v>482</v>
      </c>
      <c r="B460" s="9" t="s">
        <v>473</v>
      </c>
      <c r="C460" s="6" t="s">
        <v>45</v>
      </c>
      <c r="D460" s="18">
        <f ca="1">RANDBETWEEN(500,1000)</f>
        <v>530</v>
      </c>
      <c r="E460" s="19">
        <v>45529</v>
      </c>
      <c r="F460" s="18">
        <v>98</v>
      </c>
      <c r="G460" s="20">
        <v>0.62</v>
      </c>
      <c r="H460" s="18">
        <f t="shared" ca="1" si="27"/>
        <v>77</v>
      </c>
      <c r="I460" s="18">
        <f t="shared" ca="1" si="28"/>
        <v>154</v>
      </c>
      <c r="J460" s="15">
        <f ca="1">K460-L460</f>
        <v>113.5</v>
      </c>
      <c r="K460" s="15">
        <v>150.5</v>
      </c>
      <c r="L460" s="15">
        <f ca="1">RANDBETWEEN(30,87)</f>
        <v>37</v>
      </c>
      <c r="M460" s="11">
        <f ca="1">(L460/J460)</f>
        <v>0.32599118942731276</v>
      </c>
      <c r="N460" s="18">
        <v>59</v>
      </c>
      <c r="O460" s="18" t="str">
        <f t="shared" ca="1" si="29"/>
        <v>Optimal</v>
      </c>
      <c r="P460" s="11" t="str">
        <f ca="1">RANDBETWEEN(30,76)&amp;"%"</f>
        <v>48%</v>
      </c>
      <c r="Q460" s="18">
        <f>PRODUCT(K460,N460)</f>
        <v>8879.5</v>
      </c>
    </row>
    <row r="461" spans="1:17" x14ac:dyDescent="0.45">
      <c r="A461" s="6" t="s">
        <v>483</v>
      </c>
      <c r="B461" s="9" t="s">
        <v>473</v>
      </c>
      <c r="C461" s="6" t="s">
        <v>45</v>
      </c>
      <c r="D461" s="18">
        <f ca="1">RANDBETWEEN(500,1000)</f>
        <v>502</v>
      </c>
      <c r="E461" s="19">
        <v>45370</v>
      </c>
      <c r="F461" s="18">
        <v>82</v>
      </c>
      <c r="G461" s="20">
        <v>0.61</v>
      </c>
      <c r="H461" s="18">
        <f t="shared" ca="1" si="27"/>
        <v>76</v>
      </c>
      <c r="I461" s="18">
        <f t="shared" ca="1" si="28"/>
        <v>123</v>
      </c>
      <c r="J461" s="15">
        <f ca="1">K461-L461</f>
        <v>574</v>
      </c>
      <c r="K461" s="15">
        <v>645</v>
      </c>
      <c r="L461" s="15">
        <f ca="1">RANDBETWEEN(30,87)</f>
        <v>71</v>
      </c>
      <c r="M461" s="11">
        <f ca="1">(L461/J461)</f>
        <v>0.12369337979094076</v>
      </c>
      <c r="N461" s="18">
        <v>39</v>
      </c>
      <c r="O461" s="18" t="str">
        <f t="shared" ca="1" si="29"/>
        <v>Optimal</v>
      </c>
      <c r="P461" s="11" t="str">
        <f ca="1">RANDBETWEEN(30,76)&amp;"%"</f>
        <v>31%</v>
      </c>
      <c r="Q461" s="18">
        <f>PRODUCT(K461,N461)</f>
        <v>25155</v>
      </c>
    </row>
    <row r="462" spans="1:17" x14ac:dyDescent="0.45">
      <c r="A462" s="6" t="s">
        <v>484</v>
      </c>
      <c r="B462" s="9" t="s">
        <v>473</v>
      </c>
      <c r="C462" s="6" t="s">
        <v>45</v>
      </c>
      <c r="D462" s="18">
        <f ca="1">RANDBETWEEN(500,1000)</f>
        <v>707</v>
      </c>
      <c r="E462" s="19">
        <v>45347</v>
      </c>
      <c r="F462" s="18">
        <v>99</v>
      </c>
      <c r="G462" s="20">
        <v>0.32</v>
      </c>
      <c r="H462" s="18">
        <f t="shared" ca="1" si="27"/>
        <v>54</v>
      </c>
      <c r="I462" s="18">
        <f t="shared" ca="1" si="28"/>
        <v>180</v>
      </c>
      <c r="J462" s="15">
        <f ca="1">K462-L462</f>
        <v>136</v>
      </c>
      <c r="K462" s="15">
        <v>215</v>
      </c>
      <c r="L462" s="15">
        <f ca="1">RANDBETWEEN(30,87)</f>
        <v>79</v>
      </c>
      <c r="M462" s="11">
        <f ca="1">(L462/J462)</f>
        <v>0.58088235294117652</v>
      </c>
      <c r="N462" s="18">
        <v>59</v>
      </c>
      <c r="O462" s="18" t="str">
        <f t="shared" ca="1" si="29"/>
        <v>Optimal</v>
      </c>
      <c r="P462" s="11" t="str">
        <f ca="1">RANDBETWEEN(30,76)&amp;"%"</f>
        <v>64%</v>
      </c>
      <c r="Q462" s="18">
        <f>PRODUCT(K462,N462)</f>
        <v>12685</v>
      </c>
    </row>
    <row r="463" spans="1:17" x14ac:dyDescent="0.45">
      <c r="A463" s="6" t="s">
        <v>485</v>
      </c>
      <c r="B463" s="9" t="s">
        <v>473</v>
      </c>
      <c r="C463" s="6" t="s">
        <v>45</v>
      </c>
      <c r="D463" s="18">
        <f ca="1">RANDBETWEEN(500,1000)</f>
        <v>725</v>
      </c>
      <c r="E463" s="19">
        <v>45709</v>
      </c>
      <c r="F463" s="18">
        <v>13</v>
      </c>
      <c r="G463" s="20">
        <v>0.41</v>
      </c>
      <c r="H463" s="18">
        <f t="shared" ca="1" si="27"/>
        <v>78</v>
      </c>
      <c r="I463" s="18">
        <f t="shared" ca="1" si="28"/>
        <v>127</v>
      </c>
      <c r="J463" s="15">
        <f ca="1">K463-L463</f>
        <v>86</v>
      </c>
      <c r="K463" s="15">
        <v>172</v>
      </c>
      <c r="L463" s="15">
        <f ca="1">RANDBETWEEN(30,87)</f>
        <v>86</v>
      </c>
      <c r="M463" s="11">
        <f ca="1">(L463/J463)</f>
        <v>1</v>
      </c>
      <c r="N463" s="18">
        <v>42</v>
      </c>
      <c r="O463" s="18" t="str">
        <f t="shared" ca="1" si="29"/>
        <v>Understocked</v>
      </c>
      <c r="P463" s="11" t="str">
        <f ca="1">RANDBETWEEN(30,76)&amp;"%"</f>
        <v>45%</v>
      </c>
      <c r="Q463" s="18">
        <f>PRODUCT(K463,N463)</f>
        <v>7224</v>
      </c>
    </row>
    <row r="464" spans="1:17" x14ac:dyDescent="0.45">
      <c r="A464" s="6" t="s">
        <v>486</v>
      </c>
      <c r="B464" s="9" t="s">
        <v>473</v>
      </c>
      <c r="C464" s="6" t="s">
        <v>45</v>
      </c>
      <c r="D464" s="18">
        <f ca="1">RANDBETWEEN(500,1000)</f>
        <v>762</v>
      </c>
      <c r="E464" s="19">
        <v>45432</v>
      </c>
      <c r="F464" s="18">
        <v>88</v>
      </c>
      <c r="G464" s="20">
        <v>0.32</v>
      </c>
      <c r="H464" s="18">
        <f t="shared" ca="1" si="27"/>
        <v>78</v>
      </c>
      <c r="I464" s="18">
        <f t="shared" ca="1" si="28"/>
        <v>170</v>
      </c>
      <c r="J464" s="15">
        <f ca="1">K464-L464</f>
        <v>354</v>
      </c>
      <c r="K464" s="15">
        <v>387</v>
      </c>
      <c r="L464" s="15">
        <f ca="1">RANDBETWEEN(30,87)</f>
        <v>33</v>
      </c>
      <c r="M464" s="11">
        <f ca="1">(L464/J464)</f>
        <v>9.3220338983050849E-2</v>
      </c>
      <c r="N464" s="18">
        <v>93</v>
      </c>
      <c r="O464" s="18" t="str">
        <f t="shared" ca="1" si="29"/>
        <v>Optimal</v>
      </c>
      <c r="P464" s="11" t="str">
        <f ca="1">RANDBETWEEN(30,76)&amp;"%"</f>
        <v>65%</v>
      </c>
      <c r="Q464" s="18">
        <f>PRODUCT(K464,N464)</f>
        <v>35991</v>
      </c>
    </row>
    <row r="465" spans="1:17" x14ac:dyDescent="0.45">
      <c r="A465" s="6" t="s">
        <v>489</v>
      </c>
      <c r="B465" s="9" t="s">
        <v>488</v>
      </c>
      <c r="C465" s="6" t="s">
        <v>45</v>
      </c>
      <c r="D465" s="18">
        <f ca="1">RANDBETWEEN(500,1000)</f>
        <v>514</v>
      </c>
      <c r="E465" s="19">
        <v>45398</v>
      </c>
      <c r="F465" s="18">
        <v>62</v>
      </c>
      <c r="G465" s="20">
        <v>0.43</v>
      </c>
      <c r="H465" s="18">
        <f t="shared" ca="1" si="27"/>
        <v>76</v>
      </c>
      <c r="I465" s="18">
        <f t="shared" ca="1" si="28"/>
        <v>198</v>
      </c>
      <c r="J465" s="15">
        <f ca="1">K465-L465</f>
        <v>634</v>
      </c>
      <c r="K465" s="15">
        <v>688</v>
      </c>
      <c r="L465" s="15">
        <f ca="1">RANDBETWEEN(30,87)</f>
        <v>54</v>
      </c>
      <c r="M465" s="11">
        <f ca="1">(L465/J465)</f>
        <v>8.5173501577287064E-2</v>
      </c>
      <c r="N465" s="18">
        <v>92</v>
      </c>
      <c r="O465" s="18" t="str">
        <f t="shared" ca="1" si="29"/>
        <v>Understocked</v>
      </c>
      <c r="P465" s="11" t="str">
        <f ca="1">RANDBETWEEN(30,76)&amp;"%"</f>
        <v>58%</v>
      </c>
      <c r="Q465" s="18">
        <f>PRODUCT(K465,N465)</f>
        <v>63296</v>
      </c>
    </row>
    <row r="466" spans="1:17" x14ac:dyDescent="0.45">
      <c r="A466" s="6" t="s">
        <v>492</v>
      </c>
      <c r="B466" s="9" t="s">
        <v>488</v>
      </c>
      <c r="C466" s="6" t="s">
        <v>45</v>
      </c>
      <c r="D466" s="18">
        <f ca="1">RANDBETWEEN(500,1000)</f>
        <v>652</v>
      </c>
      <c r="E466" s="19">
        <v>45641</v>
      </c>
      <c r="F466" s="18">
        <v>28</v>
      </c>
      <c r="G466" s="20">
        <v>0.44</v>
      </c>
      <c r="H466" s="18">
        <f t="shared" ca="1" si="27"/>
        <v>55</v>
      </c>
      <c r="I466" s="18">
        <f t="shared" ca="1" si="28"/>
        <v>89</v>
      </c>
      <c r="J466" s="15">
        <f ca="1">K466-L466</f>
        <v>1240</v>
      </c>
      <c r="K466" s="15">
        <v>1290</v>
      </c>
      <c r="L466" s="15">
        <f ca="1">RANDBETWEEN(30,87)</f>
        <v>50</v>
      </c>
      <c r="M466" s="11">
        <f ca="1">(L466/J466)</f>
        <v>4.0322580645161289E-2</v>
      </c>
      <c r="N466" s="18">
        <v>48</v>
      </c>
      <c r="O466" s="18" t="str">
        <f t="shared" ca="1" si="29"/>
        <v>Understocked</v>
      </c>
      <c r="P466" s="11" t="str">
        <f ca="1">RANDBETWEEN(30,76)&amp;"%"</f>
        <v>73%</v>
      </c>
      <c r="Q466" s="18">
        <f>PRODUCT(K466,N466)</f>
        <v>61920</v>
      </c>
    </row>
    <row r="467" spans="1:17" x14ac:dyDescent="0.45">
      <c r="A467" s="6" t="s">
        <v>495</v>
      </c>
      <c r="B467" s="9" t="s">
        <v>496</v>
      </c>
      <c r="C467" s="6" t="s">
        <v>45</v>
      </c>
      <c r="D467" s="18">
        <f ca="1">RANDBETWEEN(500,1000)</f>
        <v>772</v>
      </c>
      <c r="E467" s="19">
        <v>45361</v>
      </c>
      <c r="F467" s="18">
        <v>26</v>
      </c>
      <c r="G467" s="20">
        <v>0.88</v>
      </c>
      <c r="H467" s="18">
        <f t="shared" ca="1" si="27"/>
        <v>69</v>
      </c>
      <c r="I467" s="18">
        <f t="shared" ca="1" si="28"/>
        <v>127</v>
      </c>
      <c r="J467" s="15">
        <f ca="1">K467-L467</f>
        <v>554</v>
      </c>
      <c r="K467" s="15">
        <v>602</v>
      </c>
      <c r="L467" s="15">
        <f ca="1">RANDBETWEEN(30,87)</f>
        <v>48</v>
      </c>
      <c r="M467" s="11">
        <f ca="1">(L467/J467)</f>
        <v>8.6642599277978335E-2</v>
      </c>
      <c r="N467" s="18">
        <v>36</v>
      </c>
      <c r="O467" s="18" t="str">
        <f t="shared" ca="1" si="29"/>
        <v>Understocked</v>
      </c>
      <c r="P467" s="11" t="str">
        <f ca="1">RANDBETWEEN(30,76)&amp;"%"</f>
        <v>72%</v>
      </c>
      <c r="Q467" s="18">
        <f>PRODUCT(K467,N467)</f>
        <v>21672</v>
      </c>
    </row>
    <row r="468" spans="1:17" x14ac:dyDescent="0.45">
      <c r="A468" s="6" t="s">
        <v>497</v>
      </c>
      <c r="B468" s="9" t="s">
        <v>496</v>
      </c>
      <c r="C468" s="6" t="s">
        <v>45</v>
      </c>
      <c r="D468" s="18">
        <f ca="1">RANDBETWEEN(500,1000)</f>
        <v>802</v>
      </c>
      <c r="E468" s="19">
        <v>45482</v>
      </c>
      <c r="F468" s="18">
        <v>31</v>
      </c>
      <c r="G468" s="20">
        <v>0.51</v>
      </c>
      <c r="H468" s="18">
        <f t="shared" ca="1" si="27"/>
        <v>74</v>
      </c>
      <c r="I468" s="18">
        <f t="shared" ca="1" si="28"/>
        <v>197</v>
      </c>
      <c r="J468" s="15">
        <f ca="1">K468-L468</f>
        <v>118.80000000000001</v>
      </c>
      <c r="K468" s="15">
        <v>154.80000000000001</v>
      </c>
      <c r="L468" s="15">
        <f ca="1">RANDBETWEEN(30,87)</f>
        <v>36</v>
      </c>
      <c r="M468" s="11">
        <f ca="1">(L468/J468)</f>
        <v>0.30303030303030298</v>
      </c>
      <c r="N468" s="18">
        <v>55</v>
      </c>
      <c r="O468" s="18" t="str">
        <f t="shared" ca="1" si="29"/>
        <v>Understocked</v>
      </c>
      <c r="P468" s="11" t="str">
        <f ca="1">RANDBETWEEN(30,76)&amp;"%"</f>
        <v>31%</v>
      </c>
      <c r="Q468" s="18">
        <f>PRODUCT(K468,N468)</f>
        <v>8514</v>
      </c>
    </row>
    <row r="469" spans="1:17" x14ac:dyDescent="0.45">
      <c r="A469" s="6" t="s">
        <v>498</v>
      </c>
      <c r="B469" s="9" t="s">
        <v>496</v>
      </c>
      <c r="C469" s="6" t="s">
        <v>45</v>
      </c>
      <c r="D469" s="18">
        <f ca="1">RANDBETWEEN(500,1000)</f>
        <v>735</v>
      </c>
      <c r="E469" s="19">
        <v>45706</v>
      </c>
      <c r="F469" s="18">
        <v>31</v>
      </c>
      <c r="G469" s="20">
        <v>0.76</v>
      </c>
      <c r="H469" s="18">
        <f t="shared" ref="H469:H532" ca="1" si="30">RANDBETWEEN(50,80)</f>
        <v>52</v>
      </c>
      <c r="I469" s="18">
        <f t="shared" ref="I469:I532" ca="1" si="31">RANDBETWEEN(70,200)</f>
        <v>84</v>
      </c>
      <c r="J469" s="15">
        <f ca="1">K469-L469</f>
        <v>288</v>
      </c>
      <c r="K469" s="15">
        <v>344</v>
      </c>
      <c r="L469" s="15">
        <f ca="1">RANDBETWEEN(30,87)</f>
        <v>56</v>
      </c>
      <c r="M469" s="11">
        <f ca="1">(L469/J469)</f>
        <v>0.19444444444444445</v>
      </c>
      <c r="N469" s="18">
        <v>71</v>
      </c>
      <c r="O469" s="18" t="str">
        <f t="shared" ref="O469:O532" ca="1" si="32">IF(F469&lt;H469,"Understocked","Optimal")</f>
        <v>Understocked</v>
      </c>
      <c r="P469" s="11" t="str">
        <f ca="1">RANDBETWEEN(30,76)&amp;"%"</f>
        <v>30%</v>
      </c>
      <c r="Q469" s="18">
        <f>PRODUCT(K469,N469)</f>
        <v>24424</v>
      </c>
    </row>
    <row r="470" spans="1:17" x14ac:dyDescent="0.45">
      <c r="A470" s="6" t="s">
        <v>499</v>
      </c>
      <c r="B470" s="9" t="s">
        <v>496</v>
      </c>
      <c r="C470" s="6" t="s">
        <v>45</v>
      </c>
      <c r="D470" s="18">
        <f ca="1">RANDBETWEEN(500,1000)</f>
        <v>666</v>
      </c>
      <c r="E470" s="19">
        <v>45668</v>
      </c>
      <c r="F470" s="18">
        <v>19</v>
      </c>
      <c r="G470" s="20">
        <v>0.89</v>
      </c>
      <c r="H470" s="18">
        <f t="shared" ca="1" si="30"/>
        <v>55</v>
      </c>
      <c r="I470" s="18">
        <f t="shared" ca="1" si="31"/>
        <v>96</v>
      </c>
      <c r="J470" s="15">
        <f ca="1">K470-L470</f>
        <v>562</v>
      </c>
      <c r="K470" s="15">
        <v>602</v>
      </c>
      <c r="L470" s="15">
        <f ca="1">RANDBETWEEN(30,87)</f>
        <v>40</v>
      </c>
      <c r="M470" s="11">
        <f ca="1">(L470/J470)</f>
        <v>7.1174377224199295E-2</v>
      </c>
      <c r="N470" s="18">
        <v>51</v>
      </c>
      <c r="O470" s="18" t="str">
        <f t="shared" ca="1" si="32"/>
        <v>Understocked</v>
      </c>
      <c r="P470" s="11" t="str">
        <f ca="1">RANDBETWEEN(30,76)&amp;"%"</f>
        <v>67%</v>
      </c>
      <c r="Q470" s="18">
        <f>PRODUCT(K470,N470)</f>
        <v>30702</v>
      </c>
    </row>
    <row r="471" spans="1:17" x14ac:dyDescent="0.45">
      <c r="A471" s="6" t="s">
        <v>501</v>
      </c>
      <c r="B471" s="9" t="s">
        <v>496</v>
      </c>
      <c r="C471" s="6" t="s">
        <v>45</v>
      </c>
      <c r="D471" s="18">
        <f ca="1">RANDBETWEEN(500,1000)</f>
        <v>512</v>
      </c>
      <c r="E471" s="19">
        <v>45350</v>
      </c>
      <c r="F471" s="18">
        <v>86</v>
      </c>
      <c r="G471" s="20">
        <v>0.51</v>
      </c>
      <c r="H471" s="18">
        <f t="shared" ca="1" si="30"/>
        <v>75</v>
      </c>
      <c r="I471" s="18">
        <f t="shared" ca="1" si="31"/>
        <v>166</v>
      </c>
      <c r="J471" s="15">
        <f ca="1">K471-L471</f>
        <v>741</v>
      </c>
      <c r="K471" s="15">
        <v>774</v>
      </c>
      <c r="L471" s="15">
        <f ca="1">RANDBETWEEN(30,87)</f>
        <v>33</v>
      </c>
      <c r="M471" s="11">
        <f ca="1">(L471/J471)</f>
        <v>4.4534412955465584E-2</v>
      </c>
      <c r="N471" s="18">
        <v>98</v>
      </c>
      <c r="O471" s="18" t="str">
        <f t="shared" ca="1" si="32"/>
        <v>Optimal</v>
      </c>
      <c r="P471" s="11" t="str">
        <f ca="1">RANDBETWEEN(30,76)&amp;"%"</f>
        <v>47%</v>
      </c>
      <c r="Q471" s="18">
        <f>PRODUCT(K471,N471)</f>
        <v>75852</v>
      </c>
    </row>
    <row r="472" spans="1:17" x14ac:dyDescent="0.45">
      <c r="A472" s="6" t="s">
        <v>502</v>
      </c>
      <c r="B472" s="9" t="s">
        <v>496</v>
      </c>
      <c r="C472" s="6" t="s">
        <v>45</v>
      </c>
      <c r="D472" s="18">
        <f ca="1">RANDBETWEEN(500,1000)</f>
        <v>566</v>
      </c>
      <c r="E472" s="19">
        <v>45647</v>
      </c>
      <c r="F472" s="18">
        <v>99</v>
      </c>
      <c r="G472" s="20">
        <v>0.35</v>
      </c>
      <c r="H472" s="18">
        <f t="shared" ca="1" si="30"/>
        <v>69</v>
      </c>
      <c r="I472" s="18">
        <f t="shared" ca="1" si="31"/>
        <v>172</v>
      </c>
      <c r="J472" s="15">
        <f ca="1">K472-L472</f>
        <v>143</v>
      </c>
      <c r="K472" s="15">
        <v>215</v>
      </c>
      <c r="L472" s="15">
        <f ca="1">RANDBETWEEN(30,87)</f>
        <v>72</v>
      </c>
      <c r="M472" s="11">
        <f ca="1">(L472/J472)</f>
        <v>0.50349650349650354</v>
      </c>
      <c r="N472" s="18">
        <v>46</v>
      </c>
      <c r="O472" s="18" t="str">
        <f t="shared" ca="1" si="32"/>
        <v>Optimal</v>
      </c>
      <c r="P472" s="11" t="str">
        <f ca="1">RANDBETWEEN(30,76)&amp;"%"</f>
        <v>52%</v>
      </c>
      <c r="Q472" s="18">
        <f>PRODUCT(K472,N472)</f>
        <v>9890</v>
      </c>
    </row>
    <row r="473" spans="1:17" x14ac:dyDescent="0.45">
      <c r="A473" s="6" t="s">
        <v>503</v>
      </c>
      <c r="B473" s="9" t="s">
        <v>496</v>
      </c>
      <c r="C473" s="6" t="s">
        <v>45</v>
      </c>
      <c r="D473" s="18">
        <f ca="1">RANDBETWEEN(500,1000)</f>
        <v>815</v>
      </c>
      <c r="E473" s="19">
        <v>45702</v>
      </c>
      <c r="F473" s="18">
        <v>81</v>
      </c>
      <c r="G473" s="20">
        <v>0.79</v>
      </c>
      <c r="H473" s="18">
        <f t="shared" ca="1" si="30"/>
        <v>72</v>
      </c>
      <c r="I473" s="18">
        <f t="shared" ca="1" si="31"/>
        <v>78</v>
      </c>
      <c r="J473" s="15">
        <f ca="1">K473-L473</f>
        <v>492</v>
      </c>
      <c r="K473" s="15">
        <v>559</v>
      </c>
      <c r="L473" s="15">
        <f ca="1">RANDBETWEEN(30,87)</f>
        <v>67</v>
      </c>
      <c r="M473" s="11">
        <f ca="1">(L473/J473)</f>
        <v>0.13617886178861788</v>
      </c>
      <c r="N473" s="18">
        <v>20</v>
      </c>
      <c r="O473" s="18" t="str">
        <f t="shared" ca="1" si="32"/>
        <v>Optimal</v>
      </c>
      <c r="P473" s="11" t="str">
        <f ca="1">RANDBETWEEN(30,76)&amp;"%"</f>
        <v>44%</v>
      </c>
      <c r="Q473" s="18">
        <f>PRODUCT(K473,N473)</f>
        <v>11180</v>
      </c>
    </row>
    <row r="474" spans="1:17" x14ac:dyDescent="0.45">
      <c r="A474" s="6" t="s">
        <v>579</v>
      </c>
      <c r="B474" s="9" t="s">
        <v>580</v>
      </c>
      <c r="C474" s="6" t="s">
        <v>45</v>
      </c>
      <c r="D474" s="18">
        <f ca="1">RANDBETWEEN(500,1000)</f>
        <v>883</v>
      </c>
      <c r="E474" s="19">
        <v>45487</v>
      </c>
      <c r="F474" s="18">
        <v>47</v>
      </c>
      <c r="G474" s="20">
        <v>0.57999999999999996</v>
      </c>
      <c r="H474" s="18">
        <f t="shared" ca="1" si="30"/>
        <v>56</v>
      </c>
      <c r="I474" s="18">
        <f t="shared" ca="1" si="31"/>
        <v>173</v>
      </c>
      <c r="J474" s="15">
        <f ca="1">K474-L474</f>
        <v>383</v>
      </c>
      <c r="K474" s="15">
        <v>430</v>
      </c>
      <c r="L474" s="15">
        <f ca="1">RANDBETWEEN(30,87)</f>
        <v>47</v>
      </c>
      <c r="M474" s="11">
        <f ca="1">(L474/J474)</f>
        <v>0.12271540469973891</v>
      </c>
      <c r="N474" s="18">
        <v>26</v>
      </c>
      <c r="O474" s="18" t="str">
        <f t="shared" ca="1" si="32"/>
        <v>Understocked</v>
      </c>
      <c r="P474" s="11" t="str">
        <f ca="1">RANDBETWEEN(30,76)&amp;"%"</f>
        <v>39%</v>
      </c>
      <c r="Q474" s="18">
        <f>PRODUCT(K474,N474)</f>
        <v>11180</v>
      </c>
    </row>
    <row r="475" spans="1:17" x14ac:dyDescent="0.45">
      <c r="A475" s="6" t="s">
        <v>582</v>
      </c>
      <c r="B475" s="9" t="s">
        <v>580</v>
      </c>
      <c r="C475" s="6" t="s">
        <v>45</v>
      </c>
      <c r="D475" s="18">
        <f ca="1">RANDBETWEEN(500,1000)</f>
        <v>607</v>
      </c>
      <c r="E475" s="19">
        <v>45391</v>
      </c>
      <c r="F475" s="18">
        <v>79</v>
      </c>
      <c r="G475" s="20">
        <v>0.56000000000000005</v>
      </c>
      <c r="H475" s="18">
        <f t="shared" ca="1" si="30"/>
        <v>57</v>
      </c>
      <c r="I475" s="18">
        <f t="shared" ca="1" si="31"/>
        <v>98</v>
      </c>
      <c r="J475" s="15">
        <f ca="1">K475-L475</f>
        <v>117.5</v>
      </c>
      <c r="K475" s="15">
        <v>150.5</v>
      </c>
      <c r="L475" s="15">
        <f ca="1">RANDBETWEEN(30,87)</f>
        <v>33</v>
      </c>
      <c r="M475" s="11">
        <f ca="1">(L475/J475)</f>
        <v>0.28085106382978725</v>
      </c>
      <c r="N475" s="18">
        <v>80</v>
      </c>
      <c r="O475" s="18" t="str">
        <f t="shared" ca="1" si="32"/>
        <v>Optimal</v>
      </c>
      <c r="P475" s="11" t="str">
        <f ca="1">RANDBETWEEN(30,76)&amp;"%"</f>
        <v>50%</v>
      </c>
      <c r="Q475" s="18">
        <f>PRODUCT(K475,N475)</f>
        <v>12040</v>
      </c>
    </row>
    <row r="476" spans="1:17" x14ac:dyDescent="0.45">
      <c r="A476" s="6" t="s">
        <v>583</v>
      </c>
      <c r="B476" s="9" t="s">
        <v>580</v>
      </c>
      <c r="C476" s="6" t="s">
        <v>45</v>
      </c>
      <c r="D476" s="18">
        <f ca="1">RANDBETWEEN(500,1000)</f>
        <v>852</v>
      </c>
      <c r="E476" s="19">
        <v>45615</v>
      </c>
      <c r="F476" s="18">
        <v>77</v>
      </c>
      <c r="G476" s="20">
        <v>0.73</v>
      </c>
      <c r="H476" s="18">
        <f t="shared" ca="1" si="30"/>
        <v>78</v>
      </c>
      <c r="I476" s="18">
        <f t="shared" ca="1" si="31"/>
        <v>88</v>
      </c>
      <c r="J476" s="15">
        <f ca="1">K476-L476</f>
        <v>178</v>
      </c>
      <c r="K476" s="15">
        <v>258</v>
      </c>
      <c r="L476" s="15">
        <f ca="1">RANDBETWEEN(30,87)</f>
        <v>80</v>
      </c>
      <c r="M476" s="11">
        <f ca="1">(L476/J476)</f>
        <v>0.449438202247191</v>
      </c>
      <c r="N476" s="18">
        <v>48</v>
      </c>
      <c r="O476" s="18" t="str">
        <f t="shared" ca="1" si="32"/>
        <v>Understocked</v>
      </c>
      <c r="P476" s="11" t="str">
        <f ca="1">RANDBETWEEN(30,76)&amp;"%"</f>
        <v>35%</v>
      </c>
      <c r="Q476" s="18">
        <f>PRODUCT(K476,N476)</f>
        <v>12384</v>
      </c>
    </row>
    <row r="477" spans="1:17" x14ac:dyDescent="0.45">
      <c r="A477" s="6" t="s">
        <v>585</v>
      </c>
      <c r="B477" s="9" t="s">
        <v>586</v>
      </c>
      <c r="C477" s="6" t="s">
        <v>45</v>
      </c>
      <c r="D477" s="18">
        <f ca="1">RANDBETWEEN(500,1000)</f>
        <v>690</v>
      </c>
      <c r="E477" s="19">
        <v>45429</v>
      </c>
      <c r="F477" s="18">
        <v>37</v>
      </c>
      <c r="G477" s="20">
        <v>0.65</v>
      </c>
      <c r="H477" s="18">
        <f t="shared" ca="1" si="30"/>
        <v>79</v>
      </c>
      <c r="I477" s="18">
        <f t="shared" ca="1" si="31"/>
        <v>149</v>
      </c>
      <c r="J477" s="15">
        <f ca="1">K477-L477</f>
        <v>88</v>
      </c>
      <c r="K477" s="15">
        <v>129</v>
      </c>
      <c r="L477" s="15">
        <f ca="1">RANDBETWEEN(30,87)</f>
        <v>41</v>
      </c>
      <c r="M477" s="11">
        <f ca="1">(L477/J477)</f>
        <v>0.46590909090909088</v>
      </c>
      <c r="N477" s="18">
        <v>47</v>
      </c>
      <c r="O477" s="18" t="str">
        <f t="shared" ca="1" si="32"/>
        <v>Understocked</v>
      </c>
      <c r="P477" s="11" t="str">
        <f ca="1">RANDBETWEEN(30,76)&amp;"%"</f>
        <v>57%</v>
      </c>
      <c r="Q477" s="18">
        <f>PRODUCT(K477,N477)</f>
        <v>6063</v>
      </c>
    </row>
    <row r="478" spans="1:17" x14ac:dyDescent="0.45">
      <c r="A478" s="6" t="s">
        <v>587</v>
      </c>
      <c r="B478" s="9" t="s">
        <v>586</v>
      </c>
      <c r="C478" s="6" t="s">
        <v>45</v>
      </c>
      <c r="D478" s="18">
        <f ca="1">RANDBETWEEN(500,1000)</f>
        <v>865</v>
      </c>
      <c r="E478" s="19">
        <v>45705</v>
      </c>
      <c r="F478" s="18">
        <v>38</v>
      </c>
      <c r="G478" s="20">
        <v>0.85</v>
      </c>
      <c r="H478" s="18">
        <f t="shared" ca="1" si="30"/>
        <v>78</v>
      </c>
      <c r="I478" s="18">
        <f t="shared" ca="1" si="31"/>
        <v>163</v>
      </c>
      <c r="J478" s="15">
        <f ca="1">K478-L478</f>
        <v>135</v>
      </c>
      <c r="K478" s="15">
        <v>172</v>
      </c>
      <c r="L478" s="15">
        <f ca="1">RANDBETWEEN(30,87)</f>
        <v>37</v>
      </c>
      <c r="M478" s="11">
        <f ca="1">(L478/J478)</f>
        <v>0.27407407407407408</v>
      </c>
      <c r="N478" s="18">
        <v>53</v>
      </c>
      <c r="O478" s="18" t="str">
        <f t="shared" ca="1" si="32"/>
        <v>Understocked</v>
      </c>
      <c r="P478" s="11" t="str">
        <f ca="1">RANDBETWEEN(30,76)&amp;"%"</f>
        <v>70%</v>
      </c>
      <c r="Q478" s="18">
        <f>PRODUCT(K478,N478)</f>
        <v>9116</v>
      </c>
    </row>
    <row r="479" spans="1:17" x14ac:dyDescent="0.45">
      <c r="A479" s="6" t="s">
        <v>588</v>
      </c>
      <c r="B479" s="9" t="s">
        <v>586</v>
      </c>
      <c r="C479" s="6" t="s">
        <v>45</v>
      </c>
      <c r="D479" s="18">
        <f ca="1">RANDBETWEEN(500,1000)</f>
        <v>855</v>
      </c>
      <c r="E479" s="19">
        <v>45568</v>
      </c>
      <c r="F479" s="18">
        <v>47</v>
      </c>
      <c r="G479" s="20">
        <v>0.71</v>
      </c>
      <c r="H479" s="18">
        <f t="shared" ca="1" si="30"/>
        <v>60</v>
      </c>
      <c r="I479" s="18">
        <f t="shared" ca="1" si="31"/>
        <v>115</v>
      </c>
      <c r="J479" s="15">
        <f ca="1">K479-L479</f>
        <v>141.70000000000002</v>
      </c>
      <c r="K479" s="15">
        <v>210.70000000000002</v>
      </c>
      <c r="L479" s="15">
        <f ca="1">RANDBETWEEN(30,87)</f>
        <v>69</v>
      </c>
      <c r="M479" s="11">
        <f ca="1">(L479/J479)</f>
        <v>0.48694424841213824</v>
      </c>
      <c r="N479" s="18">
        <v>70</v>
      </c>
      <c r="O479" s="18" t="str">
        <f t="shared" ca="1" si="32"/>
        <v>Understocked</v>
      </c>
      <c r="P479" s="11" t="str">
        <f ca="1">RANDBETWEEN(30,76)&amp;"%"</f>
        <v>40%</v>
      </c>
      <c r="Q479" s="18">
        <f>PRODUCT(K479,N479)</f>
        <v>14749.000000000002</v>
      </c>
    </row>
    <row r="480" spans="1:17" x14ac:dyDescent="0.45">
      <c r="A480" s="6" t="s">
        <v>589</v>
      </c>
      <c r="B480" s="9" t="s">
        <v>586</v>
      </c>
      <c r="C480" s="6" t="s">
        <v>45</v>
      </c>
      <c r="D480" s="18">
        <f ca="1">RANDBETWEEN(500,1000)</f>
        <v>944</v>
      </c>
      <c r="E480" s="19">
        <v>45649</v>
      </c>
      <c r="F480" s="18">
        <v>63</v>
      </c>
      <c r="G480" s="20">
        <v>0.69</v>
      </c>
      <c r="H480" s="18">
        <f t="shared" ca="1" si="30"/>
        <v>78</v>
      </c>
      <c r="I480" s="18">
        <f t="shared" ca="1" si="31"/>
        <v>167</v>
      </c>
      <c r="J480" s="15">
        <f ca="1">K480-L480</f>
        <v>566</v>
      </c>
      <c r="K480" s="15">
        <v>602</v>
      </c>
      <c r="L480" s="15">
        <f ca="1">RANDBETWEEN(30,87)</f>
        <v>36</v>
      </c>
      <c r="M480" s="11">
        <f ca="1">(L480/J480)</f>
        <v>6.3604240282685506E-2</v>
      </c>
      <c r="N480" s="18">
        <v>20</v>
      </c>
      <c r="O480" s="18" t="str">
        <f t="shared" ca="1" si="32"/>
        <v>Understocked</v>
      </c>
      <c r="P480" s="11" t="str">
        <f ca="1">RANDBETWEEN(30,76)&amp;"%"</f>
        <v>51%</v>
      </c>
      <c r="Q480" s="18">
        <f>PRODUCT(K480,N480)</f>
        <v>12040</v>
      </c>
    </row>
    <row r="481" spans="1:17" x14ac:dyDescent="0.45">
      <c r="A481" s="6" t="s">
        <v>591</v>
      </c>
      <c r="B481" s="9" t="s">
        <v>586</v>
      </c>
      <c r="C481" s="6" t="s">
        <v>45</v>
      </c>
      <c r="D481" s="18">
        <f ca="1">RANDBETWEEN(500,1000)</f>
        <v>935</v>
      </c>
      <c r="E481" s="19">
        <v>45519</v>
      </c>
      <c r="F481" s="18">
        <v>28</v>
      </c>
      <c r="G481" s="20">
        <v>0.42</v>
      </c>
      <c r="H481" s="18">
        <f t="shared" ca="1" si="30"/>
        <v>71</v>
      </c>
      <c r="I481" s="18">
        <f t="shared" ca="1" si="31"/>
        <v>173</v>
      </c>
      <c r="J481" s="15">
        <f ca="1">K481-L481</f>
        <v>782</v>
      </c>
      <c r="K481" s="15">
        <v>860</v>
      </c>
      <c r="L481" s="15">
        <f ca="1">RANDBETWEEN(30,87)</f>
        <v>78</v>
      </c>
      <c r="M481" s="11">
        <f ca="1">(L481/J481)</f>
        <v>9.9744245524296671E-2</v>
      </c>
      <c r="N481" s="18">
        <v>70</v>
      </c>
      <c r="O481" s="18" t="str">
        <f t="shared" ca="1" si="32"/>
        <v>Understocked</v>
      </c>
      <c r="P481" s="11" t="str">
        <f ca="1">RANDBETWEEN(30,76)&amp;"%"</f>
        <v>54%</v>
      </c>
      <c r="Q481" s="18">
        <f>PRODUCT(K481,N481)</f>
        <v>60200</v>
      </c>
    </row>
    <row r="482" spans="1:17" x14ac:dyDescent="0.45">
      <c r="A482" s="6" t="s">
        <v>592</v>
      </c>
      <c r="B482" s="9" t="s">
        <v>593</v>
      </c>
      <c r="C482" s="6" t="s">
        <v>45</v>
      </c>
      <c r="D482" s="18">
        <f ca="1">RANDBETWEEN(500,1000)</f>
        <v>610</v>
      </c>
      <c r="E482" s="19">
        <v>45511</v>
      </c>
      <c r="F482" s="18">
        <v>91</v>
      </c>
      <c r="G482" s="20">
        <v>0.61</v>
      </c>
      <c r="H482" s="18">
        <f t="shared" ca="1" si="30"/>
        <v>58</v>
      </c>
      <c r="I482" s="18">
        <f t="shared" ca="1" si="31"/>
        <v>95</v>
      </c>
      <c r="J482" s="15">
        <f ca="1">K482-L482</f>
        <v>214</v>
      </c>
      <c r="K482" s="15">
        <v>301</v>
      </c>
      <c r="L482" s="15">
        <f ca="1">RANDBETWEEN(30,87)</f>
        <v>87</v>
      </c>
      <c r="M482" s="11">
        <f ca="1">(L482/J482)</f>
        <v>0.40654205607476634</v>
      </c>
      <c r="N482" s="18">
        <v>38</v>
      </c>
      <c r="O482" s="18" t="str">
        <f t="shared" ca="1" si="32"/>
        <v>Optimal</v>
      </c>
      <c r="P482" s="11" t="str">
        <f ca="1">RANDBETWEEN(30,76)&amp;"%"</f>
        <v>71%</v>
      </c>
      <c r="Q482" s="18">
        <f>PRODUCT(K482,N482)</f>
        <v>11438</v>
      </c>
    </row>
    <row r="483" spans="1:17" x14ac:dyDescent="0.45">
      <c r="A483" s="6" t="s">
        <v>594</v>
      </c>
      <c r="B483" s="9" t="s">
        <v>593</v>
      </c>
      <c r="C483" s="6" t="s">
        <v>45</v>
      </c>
      <c r="D483" s="18">
        <f ca="1">RANDBETWEEN(500,1000)</f>
        <v>822</v>
      </c>
      <c r="E483" s="19">
        <v>45376</v>
      </c>
      <c r="F483" s="18">
        <v>59</v>
      </c>
      <c r="G483" s="20">
        <v>0.34</v>
      </c>
      <c r="H483" s="18">
        <f t="shared" ca="1" si="30"/>
        <v>74</v>
      </c>
      <c r="I483" s="18">
        <f t="shared" ca="1" si="31"/>
        <v>130</v>
      </c>
      <c r="J483" s="15">
        <f ca="1">K483-L483</f>
        <v>359.40000000000003</v>
      </c>
      <c r="K483" s="15">
        <v>421.40000000000003</v>
      </c>
      <c r="L483" s="15">
        <f ca="1">RANDBETWEEN(30,87)</f>
        <v>62</v>
      </c>
      <c r="M483" s="11">
        <f ca="1">(L483/J483)</f>
        <v>0.17250973845297718</v>
      </c>
      <c r="N483" s="18">
        <v>30</v>
      </c>
      <c r="O483" s="18" t="str">
        <f t="shared" ca="1" si="32"/>
        <v>Understocked</v>
      </c>
      <c r="P483" s="11" t="str">
        <f ca="1">RANDBETWEEN(30,76)&amp;"%"</f>
        <v>73%</v>
      </c>
      <c r="Q483" s="18">
        <f>PRODUCT(K483,N483)</f>
        <v>12642.000000000002</v>
      </c>
    </row>
    <row r="484" spans="1:17" x14ac:dyDescent="0.45">
      <c r="A484" s="6" t="s">
        <v>595</v>
      </c>
      <c r="B484" s="9" t="s">
        <v>593</v>
      </c>
      <c r="C484" s="6" t="s">
        <v>45</v>
      </c>
      <c r="D484" s="18">
        <f ca="1">RANDBETWEEN(500,1000)</f>
        <v>735</v>
      </c>
      <c r="E484" s="19">
        <v>45402</v>
      </c>
      <c r="F484" s="18">
        <v>63</v>
      </c>
      <c r="G484" s="20">
        <v>0.57999999999999996</v>
      </c>
      <c r="H484" s="18">
        <f t="shared" ca="1" si="30"/>
        <v>56</v>
      </c>
      <c r="I484" s="18">
        <f t="shared" ca="1" si="31"/>
        <v>110</v>
      </c>
      <c r="J484" s="15">
        <f ca="1">K484-L484</f>
        <v>1640</v>
      </c>
      <c r="K484" s="15">
        <v>1720</v>
      </c>
      <c r="L484" s="15">
        <f ca="1">RANDBETWEEN(30,87)</f>
        <v>80</v>
      </c>
      <c r="M484" s="11">
        <f ca="1">(L484/J484)</f>
        <v>4.878048780487805E-2</v>
      </c>
      <c r="N484" s="18">
        <v>56</v>
      </c>
      <c r="O484" s="18" t="str">
        <f t="shared" ca="1" si="32"/>
        <v>Optimal</v>
      </c>
      <c r="P484" s="11" t="str">
        <f ca="1">RANDBETWEEN(30,76)&amp;"%"</f>
        <v>46%</v>
      </c>
      <c r="Q484" s="18">
        <f>PRODUCT(K484,N484)</f>
        <v>96320</v>
      </c>
    </row>
    <row r="485" spans="1:17" x14ac:dyDescent="0.45">
      <c r="A485" s="6" t="s">
        <v>596</v>
      </c>
      <c r="B485" s="9" t="s">
        <v>593</v>
      </c>
      <c r="C485" s="6" t="s">
        <v>45</v>
      </c>
      <c r="D485" s="18">
        <f ca="1">RANDBETWEEN(500,1000)</f>
        <v>726</v>
      </c>
      <c r="E485" s="19">
        <v>45613</v>
      </c>
      <c r="F485" s="18">
        <v>72</v>
      </c>
      <c r="G485" s="20">
        <v>0.43</v>
      </c>
      <c r="H485" s="18">
        <f t="shared" ca="1" si="30"/>
        <v>68</v>
      </c>
      <c r="I485" s="18">
        <f t="shared" ca="1" si="31"/>
        <v>117</v>
      </c>
      <c r="J485" s="15">
        <f ca="1">K485-L485</f>
        <v>51</v>
      </c>
      <c r="K485" s="15">
        <v>86</v>
      </c>
      <c r="L485" s="15">
        <f ca="1">RANDBETWEEN(30,87)</f>
        <v>35</v>
      </c>
      <c r="M485" s="11">
        <f ca="1">(L485/J485)</f>
        <v>0.68627450980392157</v>
      </c>
      <c r="N485" s="18">
        <v>25</v>
      </c>
      <c r="O485" s="18" t="str">
        <f t="shared" ca="1" si="32"/>
        <v>Optimal</v>
      </c>
      <c r="P485" s="11" t="str">
        <f ca="1">RANDBETWEEN(30,76)&amp;"%"</f>
        <v>46%</v>
      </c>
      <c r="Q485" s="18">
        <f>PRODUCT(K485,N485)</f>
        <v>2150</v>
      </c>
    </row>
    <row r="486" spans="1:17" x14ac:dyDescent="0.45">
      <c r="A486" s="6" t="s">
        <v>597</v>
      </c>
      <c r="B486" s="9" t="s">
        <v>593</v>
      </c>
      <c r="C486" s="6" t="s">
        <v>45</v>
      </c>
      <c r="D486" s="18">
        <f ca="1">RANDBETWEEN(500,1000)</f>
        <v>997</v>
      </c>
      <c r="E486" s="19">
        <v>45572</v>
      </c>
      <c r="F486" s="18">
        <v>87</v>
      </c>
      <c r="G486" s="20">
        <v>0.45</v>
      </c>
      <c r="H486" s="18">
        <f t="shared" ca="1" si="30"/>
        <v>64</v>
      </c>
      <c r="I486" s="18">
        <f t="shared" ca="1" si="31"/>
        <v>80</v>
      </c>
      <c r="J486" s="15">
        <f ca="1">K486-L486</f>
        <v>465</v>
      </c>
      <c r="K486" s="15">
        <v>516</v>
      </c>
      <c r="L486" s="15">
        <f ca="1">RANDBETWEEN(30,87)</f>
        <v>51</v>
      </c>
      <c r="M486" s="11">
        <f ca="1">(L486/J486)</f>
        <v>0.10967741935483871</v>
      </c>
      <c r="N486" s="18">
        <v>61</v>
      </c>
      <c r="O486" s="18" t="str">
        <f t="shared" ca="1" si="32"/>
        <v>Optimal</v>
      </c>
      <c r="P486" s="11" t="str">
        <f ca="1">RANDBETWEEN(30,76)&amp;"%"</f>
        <v>39%</v>
      </c>
      <c r="Q486" s="18">
        <f>PRODUCT(K486,N486)</f>
        <v>31476</v>
      </c>
    </row>
    <row r="487" spans="1:17" x14ac:dyDescent="0.45">
      <c r="A487" s="6" t="s">
        <v>598</v>
      </c>
      <c r="B487" s="9" t="s">
        <v>593</v>
      </c>
      <c r="C487" s="6" t="s">
        <v>45</v>
      </c>
      <c r="D487" s="18">
        <f ca="1">RANDBETWEEN(500,1000)</f>
        <v>905</v>
      </c>
      <c r="E487" s="19">
        <v>45616</v>
      </c>
      <c r="F487" s="18">
        <v>65</v>
      </c>
      <c r="G487" s="20">
        <v>0.9</v>
      </c>
      <c r="H487" s="18">
        <f t="shared" ca="1" si="30"/>
        <v>60</v>
      </c>
      <c r="I487" s="18">
        <f t="shared" ca="1" si="31"/>
        <v>158</v>
      </c>
      <c r="J487" s="15">
        <f ca="1">K487-L487</f>
        <v>286.10000000000002</v>
      </c>
      <c r="K487" s="15">
        <v>331.1</v>
      </c>
      <c r="L487" s="15">
        <f ca="1">RANDBETWEEN(30,87)</f>
        <v>45</v>
      </c>
      <c r="M487" s="11">
        <f ca="1">(L487/J487)</f>
        <v>0.15728766165676336</v>
      </c>
      <c r="N487" s="18">
        <v>89</v>
      </c>
      <c r="O487" s="18" t="str">
        <f t="shared" ca="1" si="32"/>
        <v>Optimal</v>
      </c>
      <c r="P487" s="11" t="str">
        <f ca="1">RANDBETWEEN(30,76)&amp;"%"</f>
        <v>73%</v>
      </c>
      <c r="Q487" s="18">
        <f>PRODUCT(K487,N487)</f>
        <v>29467.9</v>
      </c>
    </row>
    <row r="488" spans="1:17" x14ac:dyDescent="0.45">
      <c r="A488" s="6" t="s">
        <v>599</v>
      </c>
      <c r="B488" s="9" t="s">
        <v>593</v>
      </c>
      <c r="C488" s="6" t="s">
        <v>45</v>
      </c>
      <c r="D488" s="18">
        <f ca="1">RANDBETWEEN(500,1000)</f>
        <v>704</v>
      </c>
      <c r="E488" s="19">
        <v>45433</v>
      </c>
      <c r="F488" s="18">
        <v>63</v>
      </c>
      <c r="G488" s="20">
        <v>0.55000000000000004</v>
      </c>
      <c r="H488" s="18">
        <f t="shared" ca="1" si="30"/>
        <v>67</v>
      </c>
      <c r="I488" s="18">
        <f t="shared" ca="1" si="31"/>
        <v>87</v>
      </c>
      <c r="J488" s="15">
        <f ca="1">K488-L488</f>
        <v>548</v>
      </c>
      <c r="K488" s="15">
        <v>602</v>
      </c>
      <c r="L488" s="15">
        <f ca="1">RANDBETWEEN(30,87)</f>
        <v>54</v>
      </c>
      <c r="M488" s="11">
        <f ca="1">(L488/J488)</f>
        <v>9.8540145985401464E-2</v>
      </c>
      <c r="N488" s="18">
        <v>33</v>
      </c>
      <c r="O488" s="18" t="str">
        <f t="shared" ca="1" si="32"/>
        <v>Understocked</v>
      </c>
      <c r="P488" s="11" t="str">
        <f ca="1">RANDBETWEEN(30,76)&amp;"%"</f>
        <v>39%</v>
      </c>
      <c r="Q488" s="18">
        <f>PRODUCT(K488,N488)</f>
        <v>19866</v>
      </c>
    </row>
    <row r="489" spans="1:17" x14ac:dyDescent="0.45">
      <c r="A489" s="6" t="s">
        <v>600</v>
      </c>
      <c r="B489" s="9" t="s">
        <v>593</v>
      </c>
      <c r="C489" s="6" t="s">
        <v>45</v>
      </c>
      <c r="D489" s="18">
        <f ca="1">RANDBETWEEN(500,1000)</f>
        <v>955</v>
      </c>
      <c r="E489" s="19">
        <v>45651</v>
      </c>
      <c r="F489" s="18">
        <v>12</v>
      </c>
      <c r="G489" s="20">
        <v>0.39</v>
      </c>
      <c r="H489" s="18">
        <f t="shared" ca="1" si="30"/>
        <v>78</v>
      </c>
      <c r="I489" s="18">
        <f t="shared" ca="1" si="31"/>
        <v>83</v>
      </c>
      <c r="J489" s="15">
        <f ca="1">K489-L489</f>
        <v>203</v>
      </c>
      <c r="K489" s="15">
        <v>258</v>
      </c>
      <c r="L489" s="15">
        <f ca="1">RANDBETWEEN(30,87)</f>
        <v>55</v>
      </c>
      <c r="M489" s="11">
        <f ca="1">(L489/J489)</f>
        <v>0.27093596059113301</v>
      </c>
      <c r="N489" s="18">
        <v>66</v>
      </c>
      <c r="O489" s="18" t="str">
        <f t="shared" ca="1" si="32"/>
        <v>Understocked</v>
      </c>
      <c r="P489" s="11" t="str">
        <f ca="1">RANDBETWEEN(30,76)&amp;"%"</f>
        <v>52%</v>
      </c>
      <c r="Q489" s="18">
        <f>PRODUCT(K489,N489)</f>
        <v>17028</v>
      </c>
    </row>
    <row r="490" spans="1:17" x14ac:dyDescent="0.45">
      <c r="A490" s="6" t="s">
        <v>601</v>
      </c>
      <c r="B490" s="9" t="s">
        <v>593</v>
      </c>
      <c r="C490" s="6" t="s">
        <v>45</v>
      </c>
      <c r="D490" s="18">
        <f ca="1">RANDBETWEEN(500,1000)</f>
        <v>600</v>
      </c>
      <c r="E490" s="19">
        <v>45409</v>
      </c>
      <c r="F490" s="18">
        <v>90</v>
      </c>
      <c r="G490" s="20">
        <v>0.38</v>
      </c>
      <c r="H490" s="18">
        <f t="shared" ca="1" si="30"/>
        <v>75</v>
      </c>
      <c r="I490" s="18">
        <f t="shared" ca="1" si="31"/>
        <v>174</v>
      </c>
      <c r="J490" s="15">
        <f ca="1">K490-L490</f>
        <v>720</v>
      </c>
      <c r="K490" s="15">
        <v>774</v>
      </c>
      <c r="L490" s="15">
        <f ca="1">RANDBETWEEN(30,87)</f>
        <v>54</v>
      </c>
      <c r="M490" s="11">
        <f ca="1">(L490/J490)</f>
        <v>7.4999999999999997E-2</v>
      </c>
      <c r="N490" s="18">
        <v>71</v>
      </c>
      <c r="O490" s="18" t="str">
        <f t="shared" ca="1" si="32"/>
        <v>Optimal</v>
      </c>
      <c r="P490" s="11" t="str">
        <f ca="1">RANDBETWEEN(30,76)&amp;"%"</f>
        <v>58%</v>
      </c>
      <c r="Q490" s="18">
        <f>PRODUCT(K490,N490)</f>
        <v>54954</v>
      </c>
    </row>
    <row r="491" spans="1:17" x14ac:dyDescent="0.45">
      <c r="A491" s="6" t="s">
        <v>602</v>
      </c>
      <c r="B491" s="9" t="s">
        <v>603</v>
      </c>
      <c r="C491" s="6" t="s">
        <v>45</v>
      </c>
      <c r="D491" s="18">
        <f ca="1">RANDBETWEEN(500,1000)</f>
        <v>865</v>
      </c>
      <c r="E491" s="19">
        <v>45579</v>
      </c>
      <c r="F491" s="18">
        <v>58</v>
      </c>
      <c r="G491" s="20">
        <v>0.66</v>
      </c>
      <c r="H491" s="18">
        <f t="shared" ca="1" si="30"/>
        <v>58</v>
      </c>
      <c r="I491" s="18">
        <f t="shared" ca="1" si="31"/>
        <v>101</v>
      </c>
      <c r="J491" s="15">
        <f ca="1">K491-L491</f>
        <v>1641</v>
      </c>
      <c r="K491" s="15">
        <v>1720</v>
      </c>
      <c r="L491" s="15">
        <f ca="1">RANDBETWEEN(30,87)</f>
        <v>79</v>
      </c>
      <c r="M491" s="11">
        <f ca="1">(L491/J491)</f>
        <v>4.8141377209018892E-2</v>
      </c>
      <c r="N491" s="18">
        <v>53</v>
      </c>
      <c r="O491" s="18" t="str">
        <f t="shared" ca="1" si="32"/>
        <v>Optimal</v>
      </c>
      <c r="P491" s="11" t="str">
        <f ca="1">RANDBETWEEN(30,76)&amp;"%"</f>
        <v>44%</v>
      </c>
      <c r="Q491" s="18">
        <f>PRODUCT(K491,N491)</f>
        <v>91160</v>
      </c>
    </row>
    <row r="492" spans="1:17" x14ac:dyDescent="0.45">
      <c r="A492" s="6" t="s">
        <v>604</v>
      </c>
      <c r="B492" s="9" t="s">
        <v>603</v>
      </c>
      <c r="C492" s="6" t="s">
        <v>45</v>
      </c>
      <c r="D492" s="18">
        <f ca="1">RANDBETWEEN(500,1000)</f>
        <v>559</v>
      </c>
      <c r="E492" s="19">
        <v>45394</v>
      </c>
      <c r="F492" s="18">
        <v>88</v>
      </c>
      <c r="G492" s="20">
        <v>0.9</v>
      </c>
      <c r="H492" s="18">
        <f t="shared" ca="1" si="30"/>
        <v>54</v>
      </c>
      <c r="I492" s="18">
        <f t="shared" ca="1" si="31"/>
        <v>137</v>
      </c>
      <c r="J492" s="15">
        <f ca="1">K492-L492</f>
        <v>140.4</v>
      </c>
      <c r="K492" s="15">
        <v>206.4</v>
      </c>
      <c r="L492" s="15">
        <f ca="1">RANDBETWEEN(30,87)</f>
        <v>66</v>
      </c>
      <c r="M492" s="11">
        <f ca="1">(L492/J492)</f>
        <v>0.47008547008547008</v>
      </c>
      <c r="N492" s="18">
        <v>25</v>
      </c>
      <c r="O492" s="18" t="str">
        <f t="shared" ca="1" si="32"/>
        <v>Optimal</v>
      </c>
      <c r="P492" s="11" t="str">
        <f ca="1">RANDBETWEEN(30,76)&amp;"%"</f>
        <v>68%</v>
      </c>
      <c r="Q492" s="18">
        <f>PRODUCT(K492,N492)</f>
        <v>5160</v>
      </c>
    </row>
    <row r="493" spans="1:17" x14ac:dyDescent="0.45">
      <c r="A493" s="6" t="s">
        <v>605</v>
      </c>
      <c r="B493" s="9" t="s">
        <v>603</v>
      </c>
      <c r="C493" s="6" t="s">
        <v>45</v>
      </c>
      <c r="D493" s="18">
        <f ca="1">RANDBETWEEN(500,1000)</f>
        <v>673</v>
      </c>
      <c r="E493" s="19">
        <v>45412</v>
      </c>
      <c r="F493" s="18">
        <v>22</v>
      </c>
      <c r="G493" s="20">
        <v>0.79</v>
      </c>
      <c r="H493" s="18">
        <f t="shared" ca="1" si="30"/>
        <v>50</v>
      </c>
      <c r="I493" s="18">
        <f t="shared" ca="1" si="31"/>
        <v>73</v>
      </c>
      <c r="J493" s="15">
        <f ca="1">K493-L493</f>
        <v>646</v>
      </c>
      <c r="K493" s="15">
        <v>688</v>
      </c>
      <c r="L493" s="15">
        <f ca="1">RANDBETWEEN(30,87)</f>
        <v>42</v>
      </c>
      <c r="M493" s="11">
        <f ca="1">(L493/J493)</f>
        <v>6.5015479876160992E-2</v>
      </c>
      <c r="N493" s="18">
        <v>62</v>
      </c>
      <c r="O493" s="18" t="str">
        <f t="shared" ca="1" si="32"/>
        <v>Understocked</v>
      </c>
      <c r="P493" s="11" t="str">
        <f ca="1">RANDBETWEEN(30,76)&amp;"%"</f>
        <v>73%</v>
      </c>
      <c r="Q493" s="18">
        <f>PRODUCT(K493,N493)</f>
        <v>42656</v>
      </c>
    </row>
    <row r="494" spans="1:17" x14ac:dyDescent="0.45">
      <c r="A494" s="6" t="s">
        <v>606</v>
      </c>
      <c r="B494" s="9" t="s">
        <v>603</v>
      </c>
      <c r="C494" s="6" t="s">
        <v>45</v>
      </c>
      <c r="D494" s="18">
        <f ca="1">RANDBETWEEN(500,1000)</f>
        <v>766</v>
      </c>
      <c r="E494" s="19">
        <v>45357</v>
      </c>
      <c r="F494" s="18">
        <v>100</v>
      </c>
      <c r="G494" s="20">
        <v>0.31</v>
      </c>
      <c r="H494" s="18">
        <f t="shared" ca="1" si="30"/>
        <v>61</v>
      </c>
      <c r="I494" s="18">
        <f t="shared" ca="1" si="31"/>
        <v>174</v>
      </c>
      <c r="J494" s="15">
        <f ca="1">K494-L494</f>
        <v>133</v>
      </c>
      <c r="K494" s="15">
        <v>215</v>
      </c>
      <c r="L494" s="15">
        <f ca="1">RANDBETWEEN(30,87)</f>
        <v>82</v>
      </c>
      <c r="M494" s="11">
        <f ca="1">(L494/J494)</f>
        <v>0.61654135338345861</v>
      </c>
      <c r="N494" s="18">
        <v>26</v>
      </c>
      <c r="O494" s="18" t="str">
        <f t="shared" ca="1" si="32"/>
        <v>Optimal</v>
      </c>
      <c r="P494" s="11" t="str">
        <f ca="1">RANDBETWEEN(30,76)&amp;"%"</f>
        <v>52%</v>
      </c>
      <c r="Q494" s="18">
        <f>PRODUCT(K494,N494)</f>
        <v>5590</v>
      </c>
    </row>
    <row r="495" spans="1:17" x14ac:dyDescent="0.45">
      <c r="A495" s="6" t="s">
        <v>607</v>
      </c>
      <c r="B495" s="9" t="s">
        <v>608</v>
      </c>
      <c r="C495" s="6" t="s">
        <v>45</v>
      </c>
      <c r="D495" s="18">
        <f ca="1">RANDBETWEEN(500,1000)</f>
        <v>770</v>
      </c>
      <c r="E495" s="19">
        <v>45568</v>
      </c>
      <c r="F495" s="18">
        <v>18</v>
      </c>
      <c r="G495" s="20">
        <v>0.3</v>
      </c>
      <c r="H495" s="18">
        <f t="shared" ca="1" si="30"/>
        <v>78</v>
      </c>
      <c r="I495" s="18">
        <f t="shared" ca="1" si="31"/>
        <v>124</v>
      </c>
      <c r="J495" s="15">
        <f ca="1">K495-L495</f>
        <v>149</v>
      </c>
      <c r="K495" s="15">
        <v>215</v>
      </c>
      <c r="L495" s="15">
        <f ca="1">RANDBETWEEN(30,87)</f>
        <v>66</v>
      </c>
      <c r="M495" s="11">
        <f ca="1">(L495/J495)</f>
        <v>0.44295302013422821</v>
      </c>
      <c r="N495" s="18">
        <v>54</v>
      </c>
      <c r="O495" s="18" t="str">
        <f t="shared" ca="1" si="32"/>
        <v>Understocked</v>
      </c>
      <c r="P495" s="11" t="str">
        <f ca="1">RANDBETWEEN(30,76)&amp;"%"</f>
        <v>57%</v>
      </c>
      <c r="Q495" s="18">
        <f>PRODUCT(K495,N495)</f>
        <v>11610</v>
      </c>
    </row>
    <row r="496" spans="1:17" x14ac:dyDescent="0.45">
      <c r="A496" s="6" t="s">
        <v>609</v>
      </c>
      <c r="B496" s="9" t="s">
        <v>608</v>
      </c>
      <c r="C496" s="6" t="s">
        <v>45</v>
      </c>
      <c r="D496" s="18">
        <f ca="1">RANDBETWEEN(500,1000)</f>
        <v>637</v>
      </c>
      <c r="E496" s="19">
        <v>45466</v>
      </c>
      <c r="F496" s="18">
        <v>76</v>
      </c>
      <c r="G496" s="20">
        <v>0.64</v>
      </c>
      <c r="H496" s="18">
        <f t="shared" ca="1" si="30"/>
        <v>61</v>
      </c>
      <c r="I496" s="18">
        <f t="shared" ca="1" si="31"/>
        <v>109</v>
      </c>
      <c r="J496" s="15">
        <f ca="1">K496-L496</f>
        <v>308</v>
      </c>
      <c r="K496" s="15">
        <v>387</v>
      </c>
      <c r="L496" s="15">
        <f ca="1">RANDBETWEEN(30,87)</f>
        <v>79</v>
      </c>
      <c r="M496" s="11">
        <f ca="1">(L496/J496)</f>
        <v>0.2564935064935065</v>
      </c>
      <c r="N496" s="18">
        <v>77</v>
      </c>
      <c r="O496" s="18" t="str">
        <f t="shared" ca="1" si="32"/>
        <v>Optimal</v>
      </c>
      <c r="P496" s="11" t="str">
        <f ca="1">RANDBETWEEN(30,76)&amp;"%"</f>
        <v>35%</v>
      </c>
      <c r="Q496" s="18">
        <f>PRODUCT(K496,N496)</f>
        <v>29799</v>
      </c>
    </row>
    <row r="497" spans="1:17" x14ac:dyDescent="0.45">
      <c r="A497" t="s">
        <v>581</v>
      </c>
      <c r="B497" t="s">
        <v>580</v>
      </c>
      <c r="C497" t="s">
        <v>45</v>
      </c>
      <c r="D497" s="18">
        <f ca="1">RANDBETWEEN(500,1000)</f>
        <v>665</v>
      </c>
      <c r="E497" s="1">
        <v>45709</v>
      </c>
      <c r="F497">
        <v>60</v>
      </c>
      <c r="G497" s="2">
        <v>0.47</v>
      </c>
      <c r="H497" s="18">
        <f t="shared" ca="1" si="30"/>
        <v>55</v>
      </c>
      <c r="I497" s="18">
        <f t="shared" ca="1" si="31"/>
        <v>181</v>
      </c>
      <c r="J497" s="4">
        <f ca="1">K497-L497</f>
        <v>1722</v>
      </c>
      <c r="K497" s="4">
        <v>1763</v>
      </c>
      <c r="L497" s="4">
        <f ca="1">RANDBETWEEN(30,87)</f>
        <v>41</v>
      </c>
      <c r="M497" s="3">
        <f ca="1">(L497/J497)</f>
        <v>2.3809523809523808E-2</v>
      </c>
      <c r="N497">
        <v>21</v>
      </c>
      <c r="O497" s="18" t="str">
        <f t="shared" ca="1" si="32"/>
        <v>Optimal</v>
      </c>
      <c r="P497">
        <v>28</v>
      </c>
    </row>
    <row r="498" spans="1:17" x14ac:dyDescent="0.45">
      <c r="A498" s="6" t="s">
        <v>610</v>
      </c>
      <c r="B498" s="9" t="s">
        <v>608</v>
      </c>
      <c r="C498" s="6" t="s">
        <v>45</v>
      </c>
      <c r="D498" s="18">
        <f ca="1">RANDBETWEEN(500,1000)</f>
        <v>962</v>
      </c>
      <c r="E498" s="19">
        <v>45695</v>
      </c>
      <c r="F498" s="18">
        <v>21</v>
      </c>
      <c r="G498" s="20">
        <v>0.71</v>
      </c>
      <c r="H498" s="18">
        <f t="shared" ca="1" si="30"/>
        <v>72</v>
      </c>
      <c r="I498" s="18">
        <f t="shared" ca="1" si="31"/>
        <v>78</v>
      </c>
      <c r="J498" s="15">
        <f ca="1">K498-L498</f>
        <v>196</v>
      </c>
      <c r="K498" s="15">
        <v>258</v>
      </c>
      <c r="L498" s="15">
        <f ca="1">RANDBETWEEN(30,87)</f>
        <v>62</v>
      </c>
      <c r="M498" s="11">
        <f ca="1">(L498/J498)</f>
        <v>0.31632653061224492</v>
      </c>
      <c r="N498" s="18">
        <v>43</v>
      </c>
      <c r="O498" s="18" t="str">
        <f t="shared" ca="1" si="32"/>
        <v>Understocked</v>
      </c>
      <c r="P498" s="11" t="str">
        <f ca="1">RANDBETWEEN(30,76)&amp;"%"</f>
        <v>53%</v>
      </c>
      <c r="Q498" s="18">
        <f>PRODUCT(K498,N498)</f>
        <v>11094</v>
      </c>
    </row>
    <row r="499" spans="1:17" x14ac:dyDescent="0.45">
      <c r="A499" s="6" t="s">
        <v>611</v>
      </c>
      <c r="B499" s="9" t="s">
        <v>608</v>
      </c>
      <c r="C499" s="6" t="s">
        <v>45</v>
      </c>
      <c r="D499" s="18">
        <f ca="1">RANDBETWEEN(500,1000)</f>
        <v>868</v>
      </c>
      <c r="E499" s="19">
        <v>45590</v>
      </c>
      <c r="F499" s="18">
        <v>75</v>
      </c>
      <c r="G499" s="20">
        <v>0.59</v>
      </c>
      <c r="H499" s="18">
        <f t="shared" ca="1" si="30"/>
        <v>65</v>
      </c>
      <c r="I499" s="18">
        <f t="shared" ca="1" si="31"/>
        <v>108</v>
      </c>
      <c r="J499" s="15">
        <f ca="1">K499-L499</f>
        <v>344</v>
      </c>
      <c r="K499" s="15">
        <v>430</v>
      </c>
      <c r="L499" s="15">
        <f ca="1">RANDBETWEEN(30,87)</f>
        <v>86</v>
      </c>
      <c r="M499" s="11">
        <f ca="1">(L499/J499)</f>
        <v>0.25</v>
      </c>
      <c r="N499" s="18">
        <v>63</v>
      </c>
      <c r="O499" s="18" t="str">
        <f t="shared" ca="1" si="32"/>
        <v>Optimal</v>
      </c>
      <c r="P499" s="11" t="str">
        <f ca="1">RANDBETWEEN(30,76)&amp;"%"</f>
        <v>62%</v>
      </c>
      <c r="Q499" s="18">
        <f>PRODUCT(K499,N499)</f>
        <v>27090</v>
      </c>
    </row>
    <row r="500" spans="1:17" x14ac:dyDescent="0.45">
      <c r="A500" t="s">
        <v>584</v>
      </c>
      <c r="B500" t="s">
        <v>580</v>
      </c>
      <c r="C500" t="s">
        <v>45</v>
      </c>
      <c r="D500" s="18">
        <f ca="1">RANDBETWEEN(500,1000)</f>
        <v>762</v>
      </c>
      <c r="E500" s="1">
        <v>45671</v>
      </c>
      <c r="F500">
        <v>61</v>
      </c>
      <c r="G500" s="2">
        <v>0.47</v>
      </c>
      <c r="H500" s="18">
        <f t="shared" ca="1" si="30"/>
        <v>61</v>
      </c>
      <c r="I500" s="18">
        <f t="shared" ca="1" si="31"/>
        <v>192</v>
      </c>
      <c r="J500" s="4">
        <f ca="1">K500-L500</f>
        <v>1743</v>
      </c>
      <c r="K500" s="4">
        <v>1806</v>
      </c>
      <c r="L500" s="4">
        <f ca="1">RANDBETWEEN(30,87)</f>
        <v>63</v>
      </c>
      <c r="M500" s="3">
        <f ca="1">(L500/J500)</f>
        <v>3.614457831325301E-2</v>
      </c>
      <c r="N500">
        <v>76</v>
      </c>
      <c r="O500" s="18" t="str">
        <f t="shared" ca="1" si="32"/>
        <v>Optimal</v>
      </c>
      <c r="P500">
        <v>84</v>
      </c>
    </row>
    <row r="501" spans="1:17" x14ac:dyDescent="0.45">
      <c r="A501" s="6" t="s">
        <v>612</v>
      </c>
      <c r="B501" s="9" t="s">
        <v>608</v>
      </c>
      <c r="C501" s="6" t="s">
        <v>45</v>
      </c>
      <c r="D501" s="18">
        <f ca="1">RANDBETWEEN(500,1000)</f>
        <v>692</v>
      </c>
      <c r="E501" s="19">
        <v>45695</v>
      </c>
      <c r="F501" s="18">
        <v>29</v>
      </c>
      <c r="G501" s="20">
        <v>0.35</v>
      </c>
      <c r="H501" s="18">
        <f t="shared" ca="1" si="30"/>
        <v>57</v>
      </c>
      <c r="I501" s="18">
        <f t="shared" ca="1" si="31"/>
        <v>197</v>
      </c>
      <c r="J501" s="15">
        <f ca="1">K501-L501</f>
        <v>130</v>
      </c>
      <c r="K501" s="15">
        <v>172</v>
      </c>
      <c r="L501" s="15">
        <f ca="1">RANDBETWEEN(30,87)</f>
        <v>42</v>
      </c>
      <c r="M501" s="11">
        <f ca="1">(L501/J501)</f>
        <v>0.32307692307692309</v>
      </c>
      <c r="N501" s="18">
        <v>81</v>
      </c>
      <c r="O501" s="18" t="str">
        <f t="shared" ca="1" si="32"/>
        <v>Understocked</v>
      </c>
      <c r="P501" s="11" t="str">
        <f ca="1">RANDBETWEEN(30,76)&amp;"%"</f>
        <v>63%</v>
      </c>
      <c r="Q501" s="18">
        <f>PRODUCT(K501,N501)</f>
        <v>13932</v>
      </c>
    </row>
    <row r="502" spans="1:17" x14ac:dyDescent="0.45">
      <c r="A502" s="6" t="s">
        <v>613</v>
      </c>
      <c r="B502" s="9" t="s">
        <v>608</v>
      </c>
      <c r="C502" s="6" t="s">
        <v>45</v>
      </c>
      <c r="D502" s="18">
        <f ca="1">RANDBETWEEN(500,1000)</f>
        <v>583</v>
      </c>
      <c r="E502" s="19">
        <v>45423</v>
      </c>
      <c r="F502" s="18">
        <v>14</v>
      </c>
      <c r="G502" s="20">
        <v>0.67</v>
      </c>
      <c r="H502" s="18">
        <f t="shared" ca="1" si="30"/>
        <v>61</v>
      </c>
      <c r="I502" s="18">
        <f t="shared" ca="1" si="31"/>
        <v>154</v>
      </c>
      <c r="J502" s="15">
        <f ca="1">K502-L502</f>
        <v>641</v>
      </c>
      <c r="K502" s="15">
        <v>688</v>
      </c>
      <c r="L502" s="15">
        <f ca="1">RANDBETWEEN(30,87)</f>
        <v>47</v>
      </c>
      <c r="M502" s="11">
        <f ca="1">(L502/J502)</f>
        <v>7.3322932917316688E-2</v>
      </c>
      <c r="N502" s="18">
        <v>100</v>
      </c>
      <c r="O502" s="18" t="str">
        <f t="shared" ca="1" si="32"/>
        <v>Understocked</v>
      </c>
      <c r="P502" s="11" t="str">
        <f ca="1">RANDBETWEEN(30,76)&amp;"%"</f>
        <v>39%</v>
      </c>
      <c r="Q502" s="18">
        <f>PRODUCT(K502,N502)</f>
        <v>68800</v>
      </c>
    </row>
    <row r="503" spans="1:17" x14ac:dyDescent="0.45">
      <c r="A503" s="6" t="s">
        <v>614</v>
      </c>
      <c r="B503" s="9" t="s">
        <v>608</v>
      </c>
      <c r="C503" s="6" t="s">
        <v>45</v>
      </c>
      <c r="D503" s="18">
        <f ca="1">RANDBETWEEN(500,1000)</f>
        <v>617</v>
      </c>
      <c r="E503" s="19">
        <v>45656</v>
      </c>
      <c r="F503" s="18">
        <v>75</v>
      </c>
      <c r="G503" s="20">
        <v>0.47</v>
      </c>
      <c r="H503" s="18">
        <f t="shared" ca="1" si="30"/>
        <v>74</v>
      </c>
      <c r="I503" s="18">
        <f t="shared" ca="1" si="31"/>
        <v>130</v>
      </c>
      <c r="J503" s="15">
        <f ca="1">K503-L503</f>
        <v>228</v>
      </c>
      <c r="K503" s="15">
        <v>258</v>
      </c>
      <c r="L503" s="15">
        <f ca="1">RANDBETWEEN(30,87)</f>
        <v>30</v>
      </c>
      <c r="M503" s="11">
        <f ca="1">(L503/J503)</f>
        <v>0.13157894736842105</v>
      </c>
      <c r="N503" s="18">
        <v>32</v>
      </c>
      <c r="O503" s="18" t="str">
        <f t="shared" ca="1" si="32"/>
        <v>Optimal</v>
      </c>
      <c r="P503" s="11" t="str">
        <f ca="1">RANDBETWEEN(30,76)&amp;"%"</f>
        <v>36%</v>
      </c>
      <c r="Q503" s="18">
        <f>PRODUCT(K503,N503)</f>
        <v>8256</v>
      </c>
    </row>
    <row r="504" spans="1:17" x14ac:dyDescent="0.45">
      <c r="A504" s="6" t="s">
        <v>633</v>
      </c>
      <c r="B504" s="9" t="s">
        <v>634</v>
      </c>
      <c r="C504" s="6" t="s">
        <v>45</v>
      </c>
      <c r="D504" s="18">
        <f ca="1">RANDBETWEEN(500,1000)</f>
        <v>953</v>
      </c>
      <c r="E504" s="19">
        <v>45481</v>
      </c>
      <c r="F504" s="18">
        <v>89</v>
      </c>
      <c r="G504" s="20">
        <v>0.38</v>
      </c>
      <c r="H504" s="18">
        <f t="shared" ca="1" si="30"/>
        <v>80</v>
      </c>
      <c r="I504" s="18">
        <f t="shared" ca="1" si="31"/>
        <v>123</v>
      </c>
      <c r="J504" s="15">
        <f ca="1">K504-L504</f>
        <v>958</v>
      </c>
      <c r="K504" s="15">
        <v>1032</v>
      </c>
      <c r="L504" s="15">
        <f ca="1">RANDBETWEEN(30,87)</f>
        <v>74</v>
      </c>
      <c r="M504" s="11">
        <f ca="1">(L504/J504)</f>
        <v>7.724425887265135E-2</v>
      </c>
      <c r="N504" s="18">
        <v>46</v>
      </c>
      <c r="O504" s="18" t="str">
        <f t="shared" ca="1" si="32"/>
        <v>Optimal</v>
      </c>
      <c r="P504" s="11" t="str">
        <f ca="1">RANDBETWEEN(30,76)&amp;"%"</f>
        <v>69%</v>
      </c>
      <c r="Q504" s="18">
        <f>PRODUCT(K504,N504)</f>
        <v>47472</v>
      </c>
    </row>
    <row r="505" spans="1:17" x14ac:dyDescent="0.45">
      <c r="A505" t="s">
        <v>590</v>
      </c>
      <c r="B505" t="s">
        <v>586</v>
      </c>
      <c r="C505" t="s">
        <v>45</v>
      </c>
      <c r="D505" s="18">
        <f ca="1">RANDBETWEEN(500,1000)</f>
        <v>962</v>
      </c>
      <c r="E505" s="1">
        <v>45695</v>
      </c>
      <c r="F505">
        <v>45</v>
      </c>
      <c r="G505" s="2">
        <v>0.83</v>
      </c>
      <c r="H505" s="18">
        <f t="shared" ca="1" si="30"/>
        <v>59</v>
      </c>
      <c r="I505" s="18">
        <f t="shared" ca="1" si="31"/>
        <v>183</v>
      </c>
      <c r="J505" s="4">
        <f ca="1">K505-L505</f>
        <v>1749</v>
      </c>
      <c r="K505" s="4">
        <v>1806</v>
      </c>
      <c r="L505" s="4">
        <f ca="1">RANDBETWEEN(30,87)</f>
        <v>57</v>
      </c>
      <c r="M505" s="3">
        <f ca="1">(L505/J505)</f>
        <v>3.2590051457975985E-2</v>
      </c>
      <c r="N505">
        <v>44</v>
      </c>
      <c r="O505" s="18" t="str">
        <f t="shared" ca="1" si="32"/>
        <v>Understocked</v>
      </c>
      <c r="P505">
        <v>72</v>
      </c>
    </row>
    <row r="506" spans="1:17" x14ac:dyDescent="0.45">
      <c r="A506" s="6" t="s">
        <v>635</v>
      </c>
      <c r="B506" s="9" t="s">
        <v>634</v>
      </c>
      <c r="C506" s="6" t="s">
        <v>45</v>
      </c>
      <c r="D506" s="18">
        <f ca="1">RANDBETWEEN(500,1000)</f>
        <v>567</v>
      </c>
      <c r="E506" s="19">
        <v>45426</v>
      </c>
      <c r="F506" s="18">
        <v>73</v>
      </c>
      <c r="G506" s="20">
        <v>0.81</v>
      </c>
      <c r="H506" s="18">
        <f t="shared" ca="1" si="30"/>
        <v>66</v>
      </c>
      <c r="I506" s="18">
        <f t="shared" ca="1" si="31"/>
        <v>82</v>
      </c>
      <c r="J506" s="15">
        <f ca="1">K506-L506</f>
        <v>217</v>
      </c>
      <c r="K506" s="15">
        <v>258</v>
      </c>
      <c r="L506" s="15">
        <f ca="1">RANDBETWEEN(30,87)</f>
        <v>41</v>
      </c>
      <c r="M506" s="11">
        <f ca="1">(L506/J506)</f>
        <v>0.1889400921658986</v>
      </c>
      <c r="N506" s="18">
        <v>50</v>
      </c>
      <c r="O506" s="18" t="str">
        <f t="shared" ca="1" si="32"/>
        <v>Optimal</v>
      </c>
      <c r="P506" s="11" t="str">
        <f ca="1">RANDBETWEEN(30,76)&amp;"%"</f>
        <v>33%</v>
      </c>
      <c r="Q506" s="18">
        <f>PRODUCT(K506,N506)</f>
        <v>12900</v>
      </c>
    </row>
    <row r="507" spans="1:17" x14ac:dyDescent="0.45">
      <c r="A507" s="6" t="s">
        <v>636</v>
      </c>
      <c r="B507" s="9" t="s">
        <v>634</v>
      </c>
      <c r="C507" s="6" t="s">
        <v>45</v>
      </c>
      <c r="D507" s="18">
        <f ca="1">RANDBETWEEN(500,1000)</f>
        <v>818</v>
      </c>
      <c r="E507" s="19">
        <v>45431</v>
      </c>
      <c r="F507" s="18">
        <v>84</v>
      </c>
      <c r="G507" s="20">
        <v>0.3</v>
      </c>
      <c r="H507" s="18">
        <f t="shared" ca="1" si="30"/>
        <v>77</v>
      </c>
      <c r="I507" s="18">
        <f t="shared" ca="1" si="31"/>
        <v>84</v>
      </c>
      <c r="J507" s="15">
        <f ca="1">K507-L507</f>
        <v>214</v>
      </c>
      <c r="K507" s="15">
        <v>258</v>
      </c>
      <c r="L507" s="15">
        <f ca="1">RANDBETWEEN(30,87)</f>
        <v>44</v>
      </c>
      <c r="M507" s="11">
        <f ca="1">(L507/J507)</f>
        <v>0.20560747663551401</v>
      </c>
      <c r="N507" s="18">
        <v>30</v>
      </c>
      <c r="O507" s="18" t="str">
        <f t="shared" ca="1" si="32"/>
        <v>Optimal</v>
      </c>
      <c r="P507" s="11" t="str">
        <f ca="1">RANDBETWEEN(30,76)&amp;"%"</f>
        <v>60%</v>
      </c>
      <c r="Q507" s="18">
        <f>PRODUCT(K507,N507)</f>
        <v>7740</v>
      </c>
    </row>
    <row r="508" spans="1:17" x14ac:dyDescent="0.45">
      <c r="A508" s="6" t="s">
        <v>637</v>
      </c>
      <c r="B508" s="9" t="s">
        <v>634</v>
      </c>
      <c r="C508" s="6" t="s">
        <v>45</v>
      </c>
      <c r="D508" s="18">
        <f ca="1">RANDBETWEEN(500,1000)</f>
        <v>539</v>
      </c>
      <c r="E508" s="19">
        <v>45638</v>
      </c>
      <c r="F508" s="18">
        <v>61</v>
      </c>
      <c r="G508" s="20">
        <v>0.84</v>
      </c>
      <c r="H508" s="18">
        <f t="shared" ca="1" si="30"/>
        <v>70</v>
      </c>
      <c r="I508" s="18">
        <f t="shared" ca="1" si="31"/>
        <v>105</v>
      </c>
      <c r="J508" s="15">
        <f ca="1">K508-L508</f>
        <v>242.5</v>
      </c>
      <c r="K508" s="15">
        <v>279.5</v>
      </c>
      <c r="L508" s="15">
        <f ca="1">RANDBETWEEN(30,87)</f>
        <v>37</v>
      </c>
      <c r="M508" s="11">
        <f ca="1">(L508/J508)</f>
        <v>0.15257731958762888</v>
      </c>
      <c r="N508" s="18">
        <v>74</v>
      </c>
      <c r="O508" s="18" t="str">
        <f t="shared" ca="1" si="32"/>
        <v>Understocked</v>
      </c>
      <c r="P508" s="11" t="str">
        <f ca="1">RANDBETWEEN(30,76)&amp;"%"</f>
        <v>40%</v>
      </c>
      <c r="Q508" s="18">
        <f>PRODUCT(K508,N508)</f>
        <v>20683</v>
      </c>
    </row>
    <row r="509" spans="1:17" x14ac:dyDescent="0.45">
      <c r="A509" s="6" t="s">
        <v>638</v>
      </c>
      <c r="B509" s="9" t="s">
        <v>634</v>
      </c>
      <c r="C509" s="6" t="s">
        <v>45</v>
      </c>
      <c r="D509" s="18">
        <f ca="1">RANDBETWEEN(500,1000)</f>
        <v>901</v>
      </c>
      <c r="E509" s="19">
        <v>45498</v>
      </c>
      <c r="F509" s="18">
        <v>32</v>
      </c>
      <c r="G509" s="20">
        <v>0.44</v>
      </c>
      <c r="H509" s="18">
        <f t="shared" ca="1" si="30"/>
        <v>53</v>
      </c>
      <c r="I509" s="18">
        <f t="shared" ca="1" si="31"/>
        <v>161</v>
      </c>
      <c r="J509" s="15">
        <f ca="1">K509-L509</f>
        <v>19.200000000000003</v>
      </c>
      <c r="K509" s="15">
        <v>103.2</v>
      </c>
      <c r="L509" s="15">
        <f ca="1">RANDBETWEEN(30,87)</f>
        <v>84</v>
      </c>
      <c r="M509" s="11">
        <f ca="1">(L509/J509)</f>
        <v>4.3749999999999991</v>
      </c>
      <c r="N509" s="18">
        <v>84</v>
      </c>
      <c r="O509" s="18" t="str">
        <f t="shared" ca="1" si="32"/>
        <v>Understocked</v>
      </c>
      <c r="P509" s="11" t="str">
        <f ca="1">RANDBETWEEN(30,76)&amp;"%"</f>
        <v>31%</v>
      </c>
      <c r="Q509" s="18">
        <f>PRODUCT(K509,N509)</f>
        <v>8668.8000000000011</v>
      </c>
    </row>
    <row r="510" spans="1:17" x14ac:dyDescent="0.45">
      <c r="A510" s="6" t="s">
        <v>639</v>
      </c>
      <c r="B510" s="9" t="s">
        <v>634</v>
      </c>
      <c r="C510" s="6" t="s">
        <v>45</v>
      </c>
      <c r="D510" s="18">
        <f ca="1">RANDBETWEEN(500,1000)</f>
        <v>966</v>
      </c>
      <c r="E510" s="19">
        <v>45477</v>
      </c>
      <c r="F510" s="18">
        <v>53</v>
      </c>
      <c r="G510" s="20">
        <v>0.46</v>
      </c>
      <c r="H510" s="18">
        <f t="shared" ca="1" si="30"/>
        <v>66</v>
      </c>
      <c r="I510" s="18">
        <f t="shared" ca="1" si="31"/>
        <v>143</v>
      </c>
      <c r="J510" s="15">
        <f ca="1">K510-L510</f>
        <v>4</v>
      </c>
      <c r="K510" s="15">
        <v>86</v>
      </c>
      <c r="L510" s="15">
        <f ca="1">RANDBETWEEN(30,87)</f>
        <v>82</v>
      </c>
      <c r="M510" s="11">
        <f ca="1">(L510/J510)</f>
        <v>20.5</v>
      </c>
      <c r="N510" s="18">
        <v>41</v>
      </c>
      <c r="O510" s="18" t="str">
        <f t="shared" ca="1" si="32"/>
        <v>Understocked</v>
      </c>
      <c r="P510" s="11" t="str">
        <f ca="1">RANDBETWEEN(30,76)&amp;"%"</f>
        <v>73%</v>
      </c>
      <c r="Q510" s="18">
        <f>PRODUCT(K510,N510)</f>
        <v>3526</v>
      </c>
    </row>
    <row r="511" spans="1:17" x14ac:dyDescent="0.45">
      <c r="A511" s="6" t="s">
        <v>640</v>
      </c>
      <c r="B511" s="9" t="s">
        <v>634</v>
      </c>
      <c r="C511" s="6" t="s">
        <v>45</v>
      </c>
      <c r="D511" s="18">
        <f ca="1">RANDBETWEEN(500,1000)</f>
        <v>939</v>
      </c>
      <c r="E511" s="19">
        <v>45509</v>
      </c>
      <c r="F511" s="18">
        <v>58</v>
      </c>
      <c r="G511" s="20">
        <v>0.39</v>
      </c>
      <c r="H511" s="18">
        <f t="shared" ca="1" si="30"/>
        <v>54</v>
      </c>
      <c r="I511" s="18">
        <f t="shared" ca="1" si="31"/>
        <v>119</v>
      </c>
      <c r="J511" s="15">
        <f ca="1">K511-L511</f>
        <v>357</v>
      </c>
      <c r="K511" s="15">
        <v>430</v>
      </c>
      <c r="L511" s="15">
        <f ca="1">RANDBETWEEN(30,87)</f>
        <v>73</v>
      </c>
      <c r="M511" s="11">
        <f ca="1">(L511/J511)</f>
        <v>0.20448179271708683</v>
      </c>
      <c r="N511" s="18">
        <v>85</v>
      </c>
      <c r="O511" s="18" t="str">
        <f t="shared" ca="1" si="32"/>
        <v>Optimal</v>
      </c>
      <c r="P511" s="11" t="str">
        <f ca="1">RANDBETWEEN(30,76)&amp;"%"</f>
        <v>45%</v>
      </c>
      <c r="Q511" s="18">
        <f>PRODUCT(K511,N511)</f>
        <v>36550</v>
      </c>
    </row>
    <row r="512" spans="1:17" x14ac:dyDescent="0.45">
      <c r="A512" s="6" t="s">
        <v>641</v>
      </c>
      <c r="B512" s="9" t="s">
        <v>634</v>
      </c>
      <c r="C512" s="6" t="s">
        <v>45</v>
      </c>
      <c r="D512" s="18">
        <f ca="1">RANDBETWEEN(500,1000)</f>
        <v>900</v>
      </c>
      <c r="E512" s="19">
        <v>45712</v>
      </c>
      <c r="F512" s="18">
        <v>24</v>
      </c>
      <c r="G512" s="20">
        <v>0.72</v>
      </c>
      <c r="H512" s="18">
        <f t="shared" ca="1" si="30"/>
        <v>58</v>
      </c>
      <c r="I512" s="18">
        <f t="shared" ca="1" si="31"/>
        <v>120</v>
      </c>
      <c r="J512" s="15">
        <f ca="1">K512-L512</f>
        <v>167</v>
      </c>
      <c r="K512" s="15">
        <v>215</v>
      </c>
      <c r="L512" s="15">
        <f ca="1">RANDBETWEEN(30,87)</f>
        <v>48</v>
      </c>
      <c r="M512" s="11">
        <f ca="1">(L512/J512)</f>
        <v>0.28742514970059879</v>
      </c>
      <c r="N512" s="18">
        <v>39</v>
      </c>
      <c r="O512" s="18" t="str">
        <f t="shared" ca="1" si="32"/>
        <v>Understocked</v>
      </c>
      <c r="P512" s="11" t="str">
        <f ca="1">RANDBETWEEN(30,76)&amp;"%"</f>
        <v>34%</v>
      </c>
      <c r="Q512" s="18">
        <f>PRODUCT(K512,N512)</f>
        <v>8385</v>
      </c>
    </row>
    <row r="513" spans="1:17" x14ac:dyDescent="0.45">
      <c r="A513" s="6" t="s">
        <v>642</v>
      </c>
      <c r="B513" s="9" t="s">
        <v>634</v>
      </c>
      <c r="C513" s="6" t="s">
        <v>45</v>
      </c>
      <c r="D513" s="18">
        <f ca="1">RANDBETWEEN(500,1000)</f>
        <v>515</v>
      </c>
      <c r="E513" s="19">
        <v>45555</v>
      </c>
      <c r="F513" s="18">
        <v>99</v>
      </c>
      <c r="G513" s="20">
        <v>0.7</v>
      </c>
      <c r="H513" s="18">
        <f t="shared" ca="1" si="30"/>
        <v>50</v>
      </c>
      <c r="I513" s="18">
        <f t="shared" ca="1" si="31"/>
        <v>169</v>
      </c>
      <c r="J513" s="15">
        <f ca="1">K513-L513</f>
        <v>175</v>
      </c>
      <c r="K513" s="15">
        <v>215</v>
      </c>
      <c r="L513" s="15">
        <f ca="1">RANDBETWEEN(30,87)</f>
        <v>40</v>
      </c>
      <c r="M513" s="11">
        <f ca="1">(L513/J513)</f>
        <v>0.22857142857142856</v>
      </c>
      <c r="N513" s="18">
        <v>52</v>
      </c>
      <c r="O513" s="18" t="str">
        <f t="shared" ca="1" si="32"/>
        <v>Optimal</v>
      </c>
      <c r="P513" s="11" t="str">
        <f ca="1">RANDBETWEEN(30,76)&amp;"%"</f>
        <v>65%</v>
      </c>
      <c r="Q513" s="18">
        <f>PRODUCT(K513,N513)</f>
        <v>11180</v>
      </c>
    </row>
    <row r="514" spans="1:17" x14ac:dyDescent="0.45">
      <c r="A514" s="6" t="s">
        <v>643</v>
      </c>
      <c r="B514" s="9" t="s">
        <v>634</v>
      </c>
      <c r="C514" s="6" t="s">
        <v>45</v>
      </c>
      <c r="D514" s="18">
        <f ca="1">RANDBETWEEN(500,1000)</f>
        <v>949</v>
      </c>
      <c r="E514" s="19">
        <v>45553</v>
      </c>
      <c r="F514" s="18">
        <v>60</v>
      </c>
      <c r="G514" s="20">
        <v>0.88</v>
      </c>
      <c r="H514" s="18">
        <f t="shared" ca="1" si="30"/>
        <v>58</v>
      </c>
      <c r="I514" s="18">
        <f t="shared" ca="1" si="31"/>
        <v>107</v>
      </c>
      <c r="J514" s="15">
        <f ca="1">K514-L514</f>
        <v>124</v>
      </c>
      <c r="K514" s="15">
        <v>172</v>
      </c>
      <c r="L514" s="15">
        <f ca="1">RANDBETWEEN(30,87)</f>
        <v>48</v>
      </c>
      <c r="M514" s="11">
        <f ca="1">(L514/J514)</f>
        <v>0.38709677419354838</v>
      </c>
      <c r="N514" s="18">
        <v>26</v>
      </c>
      <c r="O514" s="18" t="str">
        <f t="shared" ca="1" si="32"/>
        <v>Optimal</v>
      </c>
      <c r="P514" s="11" t="str">
        <f ca="1">RANDBETWEEN(30,76)&amp;"%"</f>
        <v>53%</v>
      </c>
      <c r="Q514" s="18">
        <f>PRODUCT(K514,N514)</f>
        <v>4472</v>
      </c>
    </row>
    <row r="515" spans="1:17" x14ac:dyDescent="0.45">
      <c r="A515" s="6" t="s">
        <v>644</v>
      </c>
      <c r="B515" s="9" t="s">
        <v>634</v>
      </c>
      <c r="C515" s="6" t="s">
        <v>45</v>
      </c>
      <c r="D515" s="18">
        <f ca="1">RANDBETWEEN(500,1000)</f>
        <v>779</v>
      </c>
      <c r="E515" s="19">
        <v>45583</v>
      </c>
      <c r="F515" s="18">
        <v>92</v>
      </c>
      <c r="G515" s="20">
        <v>0.44</v>
      </c>
      <c r="H515" s="18">
        <f t="shared" ca="1" si="30"/>
        <v>80</v>
      </c>
      <c r="I515" s="18">
        <f t="shared" ca="1" si="31"/>
        <v>186</v>
      </c>
      <c r="J515" s="15">
        <f ca="1">K515-L515</f>
        <v>171</v>
      </c>
      <c r="K515" s="15">
        <v>215</v>
      </c>
      <c r="L515" s="15">
        <f ca="1">RANDBETWEEN(30,87)</f>
        <v>44</v>
      </c>
      <c r="M515" s="11">
        <f ca="1">(L515/J515)</f>
        <v>0.25730994152046782</v>
      </c>
      <c r="N515" s="18">
        <v>24</v>
      </c>
      <c r="O515" s="18" t="str">
        <f t="shared" ca="1" si="32"/>
        <v>Optimal</v>
      </c>
      <c r="P515" s="11" t="str">
        <f ca="1">RANDBETWEEN(30,76)&amp;"%"</f>
        <v>55%</v>
      </c>
      <c r="Q515" s="18">
        <f>PRODUCT(K515,N515)</f>
        <v>5160</v>
      </c>
    </row>
    <row r="516" spans="1:17" x14ac:dyDescent="0.45">
      <c r="A516" s="6" t="s">
        <v>668</v>
      </c>
      <c r="B516" s="9" t="s">
        <v>669</v>
      </c>
      <c r="C516" s="6" t="s">
        <v>45</v>
      </c>
      <c r="D516" s="18">
        <f ca="1">RANDBETWEEN(500,1000)</f>
        <v>868</v>
      </c>
      <c r="E516" s="19">
        <v>45470</v>
      </c>
      <c r="F516" s="18">
        <v>24</v>
      </c>
      <c r="G516" s="20">
        <v>0.35</v>
      </c>
      <c r="H516" s="18">
        <f t="shared" ca="1" si="30"/>
        <v>57</v>
      </c>
      <c r="I516" s="18">
        <f t="shared" ca="1" si="31"/>
        <v>123</v>
      </c>
      <c r="J516" s="15">
        <f ca="1">K516-L516</f>
        <v>644</v>
      </c>
      <c r="K516" s="15">
        <v>688</v>
      </c>
      <c r="L516" s="15">
        <f ca="1">RANDBETWEEN(30,87)</f>
        <v>44</v>
      </c>
      <c r="M516" s="11">
        <f ca="1">(L516/J516)</f>
        <v>6.8322981366459631E-2</v>
      </c>
      <c r="N516" s="18">
        <v>85</v>
      </c>
      <c r="O516" s="18" t="str">
        <f t="shared" ca="1" si="32"/>
        <v>Understocked</v>
      </c>
      <c r="P516" s="11" t="str">
        <f ca="1">RANDBETWEEN(30,76)&amp;"%"</f>
        <v>44%</v>
      </c>
      <c r="Q516" s="18">
        <f>PRODUCT(K516,N516)</f>
        <v>58480</v>
      </c>
    </row>
    <row r="517" spans="1:17" x14ac:dyDescent="0.45">
      <c r="A517" s="6" t="s">
        <v>670</v>
      </c>
      <c r="B517" s="9" t="s">
        <v>669</v>
      </c>
      <c r="C517" s="6" t="s">
        <v>45</v>
      </c>
      <c r="D517" s="18">
        <f ca="1">RANDBETWEEN(500,1000)</f>
        <v>960</v>
      </c>
      <c r="E517" s="19">
        <v>45379</v>
      </c>
      <c r="F517" s="18">
        <v>51</v>
      </c>
      <c r="G517" s="20">
        <v>0.45</v>
      </c>
      <c r="H517" s="18">
        <f t="shared" ca="1" si="30"/>
        <v>63</v>
      </c>
      <c r="I517" s="18">
        <f t="shared" ca="1" si="31"/>
        <v>135</v>
      </c>
      <c r="J517" s="15">
        <f ca="1">K517-L517</f>
        <v>157</v>
      </c>
      <c r="K517" s="15">
        <v>215</v>
      </c>
      <c r="L517" s="15">
        <f ca="1">RANDBETWEEN(30,87)</f>
        <v>58</v>
      </c>
      <c r="M517" s="11">
        <f ca="1">(L517/J517)</f>
        <v>0.36942675159235666</v>
      </c>
      <c r="N517" s="18">
        <v>52</v>
      </c>
      <c r="O517" s="18" t="str">
        <f t="shared" ca="1" si="32"/>
        <v>Understocked</v>
      </c>
      <c r="P517" s="11" t="str">
        <f ca="1">RANDBETWEEN(30,76)&amp;"%"</f>
        <v>54%</v>
      </c>
      <c r="Q517" s="18">
        <f>PRODUCT(K517,N517)</f>
        <v>11180</v>
      </c>
    </row>
    <row r="518" spans="1:17" x14ac:dyDescent="0.45">
      <c r="A518" s="6" t="s">
        <v>673</v>
      </c>
      <c r="B518" s="9" t="s">
        <v>669</v>
      </c>
      <c r="C518" s="6" t="s">
        <v>45</v>
      </c>
      <c r="D518" s="18">
        <f ca="1">RANDBETWEEN(500,1000)</f>
        <v>567</v>
      </c>
      <c r="E518" s="19">
        <v>45462</v>
      </c>
      <c r="F518" s="18">
        <v>65</v>
      </c>
      <c r="G518" s="20">
        <v>0.6</v>
      </c>
      <c r="H518" s="18">
        <f t="shared" ca="1" si="30"/>
        <v>69</v>
      </c>
      <c r="I518" s="18">
        <f t="shared" ca="1" si="31"/>
        <v>176</v>
      </c>
      <c r="J518" s="15">
        <f ca="1">K518-L518</f>
        <v>102.80000000000001</v>
      </c>
      <c r="K518" s="15">
        <v>154.80000000000001</v>
      </c>
      <c r="L518" s="15">
        <f ca="1">RANDBETWEEN(30,87)</f>
        <v>52</v>
      </c>
      <c r="M518" s="11">
        <f ca="1">(L518/J518)</f>
        <v>0.50583657587548636</v>
      </c>
      <c r="N518" s="18">
        <v>54</v>
      </c>
      <c r="O518" s="18" t="str">
        <f t="shared" ca="1" si="32"/>
        <v>Understocked</v>
      </c>
      <c r="P518" s="11" t="str">
        <f ca="1">RANDBETWEEN(30,76)&amp;"%"</f>
        <v>76%</v>
      </c>
      <c r="Q518" s="18">
        <f>PRODUCT(K518,N518)</f>
        <v>8359.2000000000007</v>
      </c>
    </row>
    <row r="519" spans="1:17" x14ac:dyDescent="0.45">
      <c r="A519" s="6" t="s">
        <v>674</v>
      </c>
      <c r="B519" s="9" t="s">
        <v>669</v>
      </c>
      <c r="C519" s="6" t="s">
        <v>45</v>
      </c>
      <c r="D519" s="18">
        <f ca="1">RANDBETWEEN(500,1000)</f>
        <v>860</v>
      </c>
      <c r="E519" s="19">
        <v>45603</v>
      </c>
      <c r="F519" s="18">
        <v>79</v>
      </c>
      <c r="G519" s="20">
        <v>0.67</v>
      </c>
      <c r="H519" s="18">
        <f t="shared" ca="1" si="30"/>
        <v>60</v>
      </c>
      <c r="I519" s="18">
        <f t="shared" ca="1" si="31"/>
        <v>187</v>
      </c>
      <c r="J519" s="15">
        <f ca="1">K519-L519</f>
        <v>93</v>
      </c>
      <c r="K519" s="15">
        <v>129</v>
      </c>
      <c r="L519" s="15">
        <f ca="1">RANDBETWEEN(30,87)</f>
        <v>36</v>
      </c>
      <c r="M519" s="11">
        <f ca="1">(L519/J519)</f>
        <v>0.38709677419354838</v>
      </c>
      <c r="N519" s="18">
        <v>55</v>
      </c>
      <c r="O519" s="18" t="str">
        <f t="shared" ca="1" si="32"/>
        <v>Optimal</v>
      </c>
      <c r="P519" s="11" t="str">
        <f ca="1">RANDBETWEEN(30,76)&amp;"%"</f>
        <v>33%</v>
      </c>
      <c r="Q519" s="18">
        <f>PRODUCT(K519,N519)</f>
        <v>7095</v>
      </c>
    </row>
    <row r="520" spans="1:17" x14ac:dyDescent="0.45">
      <c r="A520" s="6" t="s">
        <v>675</v>
      </c>
      <c r="B520" s="9" t="s">
        <v>669</v>
      </c>
      <c r="C520" s="6" t="s">
        <v>45</v>
      </c>
      <c r="D520" s="18">
        <f ca="1">RANDBETWEEN(500,1000)</f>
        <v>889</v>
      </c>
      <c r="E520" s="19">
        <v>45420</v>
      </c>
      <c r="F520" s="18">
        <v>81</v>
      </c>
      <c r="G520" s="20">
        <v>0.36</v>
      </c>
      <c r="H520" s="18">
        <f t="shared" ca="1" si="30"/>
        <v>62</v>
      </c>
      <c r="I520" s="18">
        <f t="shared" ca="1" si="31"/>
        <v>168</v>
      </c>
      <c r="J520" s="15">
        <f ca="1">K520-L520</f>
        <v>131</v>
      </c>
      <c r="K520" s="15">
        <v>172</v>
      </c>
      <c r="L520" s="15">
        <f ca="1">RANDBETWEEN(30,87)</f>
        <v>41</v>
      </c>
      <c r="M520" s="11">
        <f ca="1">(L520/J520)</f>
        <v>0.31297709923664124</v>
      </c>
      <c r="N520" s="18">
        <v>92</v>
      </c>
      <c r="O520" s="18" t="str">
        <f t="shared" ca="1" si="32"/>
        <v>Optimal</v>
      </c>
      <c r="P520" s="11" t="str">
        <f ca="1">RANDBETWEEN(30,76)&amp;"%"</f>
        <v>67%</v>
      </c>
      <c r="Q520" s="18">
        <f>PRODUCT(K520,N520)</f>
        <v>15824</v>
      </c>
    </row>
    <row r="521" spans="1:17" x14ac:dyDescent="0.45">
      <c r="A521" s="6" t="s">
        <v>676</v>
      </c>
      <c r="B521" s="9" t="s">
        <v>669</v>
      </c>
      <c r="C521" s="6" t="s">
        <v>45</v>
      </c>
      <c r="D521" s="18">
        <f ca="1">RANDBETWEEN(500,1000)</f>
        <v>863</v>
      </c>
      <c r="E521" s="19">
        <v>45712</v>
      </c>
      <c r="F521" s="18">
        <v>72</v>
      </c>
      <c r="G521" s="20">
        <v>0.53</v>
      </c>
      <c r="H521" s="18">
        <f t="shared" ca="1" si="30"/>
        <v>51</v>
      </c>
      <c r="I521" s="18">
        <f t="shared" ca="1" si="31"/>
        <v>183</v>
      </c>
      <c r="J521" s="15">
        <f ca="1">K521-L521</f>
        <v>95.6</v>
      </c>
      <c r="K521" s="15">
        <v>137.6</v>
      </c>
      <c r="L521" s="15">
        <f ca="1">RANDBETWEEN(30,87)</f>
        <v>42</v>
      </c>
      <c r="M521" s="11">
        <f ca="1">(L521/J521)</f>
        <v>0.43933054393305443</v>
      </c>
      <c r="N521" s="18">
        <v>94</v>
      </c>
      <c r="O521" s="18" t="str">
        <f t="shared" ca="1" si="32"/>
        <v>Optimal</v>
      </c>
      <c r="P521" s="11" t="str">
        <f ca="1">RANDBETWEEN(30,76)&amp;"%"</f>
        <v>71%</v>
      </c>
      <c r="Q521" s="18">
        <f>PRODUCT(K521,N521)</f>
        <v>12934.4</v>
      </c>
    </row>
    <row r="522" spans="1:17" x14ac:dyDescent="0.45">
      <c r="A522" s="6" t="s">
        <v>691</v>
      </c>
      <c r="B522" s="9" t="s">
        <v>692</v>
      </c>
      <c r="C522" s="6" t="s">
        <v>45</v>
      </c>
      <c r="D522" s="18">
        <f ca="1">RANDBETWEEN(500,1000)</f>
        <v>919</v>
      </c>
      <c r="E522" s="19">
        <v>45569</v>
      </c>
      <c r="F522" s="18">
        <v>34</v>
      </c>
      <c r="G522" s="20">
        <v>0.4</v>
      </c>
      <c r="H522" s="18">
        <f t="shared" ca="1" si="30"/>
        <v>52</v>
      </c>
      <c r="I522" s="18">
        <f t="shared" ca="1" si="31"/>
        <v>193</v>
      </c>
      <c r="J522" s="15">
        <f ca="1">K522-L522</f>
        <v>142</v>
      </c>
      <c r="K522" s="15">
        <v>215</v>
      </c>
      <c r="L522" s="15">
        <f ca="1">RANDBETWEEN(30,87)</f>
        <v>73</v>
      </c>
      <c r="M522" s="11">
        <f ca="1">(L522/J522)</f>
        <v>0.5140845070422535</v>
      </c>
      <c r="N522" s="18">
        <v>90</v>
      </c>
      <c r="O522" s="18" t="str">
        <f t="shared" ca="1" si="32"/>
        <v>Understocked</v>
      </c>
      <c r="P522" s="11" t="str">
        <f ca="1">RANDBETWEEN(30,76)&amp;"%"</f>
        <v>65%</v>
      </c>
      <c r="Q522" s="18">
        <f>PRODUCT(K522,N522)</f>
        <v>19350</v>
      </c>
    </row>
    <row r="523" spans="1:17" x14ac:dyDescent="0.45">
      <c r="A523" s="6" t="s">
        <v>693</v>
      </c>
      <c r="B523" s="9" t="s">
        <v>692</v>
      </c>
      <c r="C523" s="6" t="s">
        <v>45</v>
      </c>
      <c r="D523" s="18">
        <f ca="1">RANDBETWEEN(500,1000)</f>
        <v>604</v>
      </c>
      <c r="E523" s="19">
        <v>45483</v>
      </c>
      <c r="F523" s="18">
        <v>20</v>
      </c>
      <c r="G523" s="20">
        <v>0.66</v>
      </c>
      <c r="H523" s="18">
        <f t="shared" ca="1" si="30"/>
        <v>64</v>
      </c>
      <c r="I523" s="18">
        <f t="shared" ca="1" si="31"/>
        <v>195</v>
      </c>
      <c r="J523" s="15">
        <f ca="1">K523-L523</f>
        <v>561</v>
      </c>
      <c r="K523" s="15">
        <v>602</v>
      </c>
      <c r="L523" s="15">
        <f ca="1">RANDBETWEEN(30,87)</f>
        <v>41</v>
      </c>
      <c r="M523" s="11">
        <f ca="1">(L523/J523)</f>
        <v>7.3083778966131913E-2</v>
      </c>
      <c r="N523" s="18">
        <v>51</v>
      </c>
      <c r="O523" s="18" t="str">
        <f t="shared" ca="1" si="32"/>
        <v>Understocked</v>
      </c>
      <c r="P523" s="11" t="str">
        <f ca="1">RANDBETWEEN(30,76)&amp;"%"</f>
        <v>61%</v>
      </c>
      <c r="Q523" s="18">
        <f>PRODUCT(K523,N523)</f>
        <v>30702</v>
      </c>
    </row>
    <row r="524" spans="1:17" x14ac:dyDescent="0.45">
      <c r="A524" s="6" t="s">
        <v>694</v>
      </c>
      <c r="B524" s="9" t="s">
        <v>692</v>
      </c>
      <c r="C524" s="6" t="s">
        <v>45</v>
      </c>
      <c r="D524" s="18">
        <f ca="1">RANDBETWEEN(500,1000)</f>
        <v>912</v>
      </c>
      <c r="E524" s="19">
        <v>45496</v>
      </c>
      <c r="F524" s="18">
        <v>39</v>
      </c>
      <c r="G524" s="20">
        <v>0.72</v>
      </c>
      <c r="H524" s="18">
        <f t="shared" ca="1" si="30"/>
        <v>72</v>
      </c>
      <c r="I524" s="18">
        <f t="shared" ca="1" si="31"/>
        <v>170</v>
      </c>
      <c r="J524" s="15">
        <f ca="1">K524-L524</f>
        <v>131</v>
      </c>
      <c r="K524" s="15">
        <v>172</v>
      </c>
      <c r="L524" s="15">
        <f ca="1">RANDBETWEEN(30,87)</f>
        <v>41</v>
      </c>
      <c r="M524" s="11">
        <f ca="1">(L524/J524)</f>
        <v>0.31297709923664124</v>
      </c>
      <c r="N524" s="18">
        <v>60</v>
      </c>
      <c r="O524" s="18" t="str">
        <f t="shared" ca="1" si="32"/>
        <v>Understocked</v>
      </c>
      <c r="P524" s="11" t="str">
        <f ca="1">RANDBETWEEN(30,76)&amp;"%"</f>
        <v>39%</v>
      </c>
      <c r="Q524" s="18">
        <f>PRODUCT(K524,N524)</f>
        <v>10320</v>
      </c>
    </row>
    <row r="525" spans="1:17" x14ac:dyDescent="0.45">
      <c r="A525" s="6" t="s">
        <v>695</v>
      </c>
      <c r="B525" s="9" t="s">
        <v>692</v>
      </c>
      <c r="C525" s="6" t="s">
        <v>45</v>
      </c>
      <c r="D525" s="18">
        <f ca="1">RANDBETWEEN(500,1000)</f>
        <v>812</v>
      </c>
      <c r="E525" s="19">
        <v>45421</v>
      </c>
      <c r="F525" s="18">
        <v>50</v>
      </c>
      <c r="G525" s="20">
        <v>0.32</v>
      </c>
      <c r="H525" s="18">
        <f t="shared" ca="1" si="30"/>
        <v>68</v>
      </c>
      <c r="I525" s="18">
        <f t="shared" ca="1" si="31"/>
        <v>187</v>
      </c>
      <c r="J525" s="15">
        <f ca="1">K525-L525</f>
        <v>289.8</v>
      </c>
      <c r="K525" s="15">
        <v>369.8</v>
      </c>
      <c r="L525" s="15">
        <f ca="1">RANDBETWEEN(30,87)</f>
        <v>80</v>
      </c>
      <c r="M525" s="11">
        <f ca="1">(L525/J525)</f>
        <v>0.27605244996549344</v>
      </c>
      <c r="N525" s="18">
        <v>40</v>
      </c>
      <c r="O525" s="18" t="str">
        <f t="shared" ca="1" si="32"/>
        <v>Understocked</v>
      </c>
      <c r="P525" s="11" t="str">
        <f ca="1">RANDBETWEEN(30,76)&amp;"%"</f>
        <v>61%</v>
      </c>
      <c r="Q525" s="18">
        <f>PRODUCT(K525,N525)</f>
        <v>14792</v>
      </c>
    </row>
    <row r="526" spans="1:17" x14ac:dyDescent="0.45">
      <c r="A526" s="6" t="s">
        <v>696</v>
      </c>
      <c r="B526" s="9" t="s">
        <v>692</v>
      </c>
      <c r="C526" s="6" t="s">
        <v>45</v>
      </c>
      <c r="D526" s="18">
        <f ca="1">RANDBETWEEN(500,1000)</f>
        <v>639</v>
      </c>
      <c r="E526" s="19">
        <v>45595</v>
      </c>
      <c r="F526" s="18">
        <v>98</v>
      </c>
      <c r="G526" s="20">
        <v>0.43</v>
      </c>
      <c r="H526" s="18">
        <f t="shared" ca="1" si="30"/>
        <v>62</v>
      </c>
      <c r="I526" s="18">
        <f t="shared" ca="1" si="31"/>
        <v>183</v>
      </c>
      <c r="J526" s="15">
        <f ca="1">K526-L526</f>
        <v>167.5</v>
      </c>
      <c r="K526" s="15">
        <v>236.5</v>
      </c>
      <c r="L526" s="15">
        <f ca="1">RANDBETWEEN(30,87)</f>
        <v>69</v>
      </c>
      <c r="M526" s="11">
        <f ca="1">(L526/J526)</f>
        <v>0.41194029850746267</v>
      </c>
      <c r="N526" s="18">
        <v>46</v>
      </c>
      <c r="O526" s="18" t="str">
        <f t="shared" ca="1" si="32"/>
        <v>Optimal</v>
      </c>
      <c r="P526" s="11" t="str">
        <f ca="1">RANDBETWEEN(30,76)&amp;"%"</f>
        <v>53%</v>
      </c>
      <c r="Q526" s="18">
        <f>PRODUCT(K526,N526)</f>
        <v>10879</v>
      </c>
    </row>
    <row r="527" spans="1:17" x14ac:dyDescent="0.45">
      <c r="A527" s="6" t="s">
        <v>697</v>
      </c>
      <c r="B527" s="9" t="s">
        <v>692</v>
      </c>
      <c r="C527" s="6" t="s">
        <v>45</v>
      </c>
      <c r="D527" s="18">
        <f ca="1">RANDBETWEEN(500,1000)</f>
        <v>683</v>
      </c>
      <c r="E527" s="19">
        <v>45358</v>
      </c>
      <c r="F527" s="18">
        <v>20</v>
      </c>
      <c r="G527" s="20">
        <v>0.87</v>
      </c>
      <c r="H527" s="18">
        <f t="shared" ca="1" si="30"/>
        <v>65</v>
      </c>
      <c r="I527" s="18">
        <f t="shared" ca="1" si="31"/>
        <v>118</v>
      </c>
      <c r="J527" s="15">
        <f ca="1">K527-L527</f>
        <v>708</v>
      </c>
      <c r="K527" s="15">
        <v>774</v>
      </c>
      <c r="L527" s="15">
        <f ca="1">RANDBETWEEN(30,87)</f>
        <v>66</v>
      </c>
      <c r="M527" s="11">
        <f ca="1">(L527/J527)</f>
        <v>9.3220338983050849E-2</v>
      </c>
      <c r="N527" s="18">
        <v>23</v>
      </c>
      <c r="O527" s="18" t="str">
        <f t="shared" ca="1" si="32"/>
        <v>Understocked</v>
      </c>
      <c r="P527" s="11" t="str">
        <f ca="1">RANDBETWEEN(30,76)&amp;"%"</f>
        <v>41%</v>
      </c>
      <c r="Q527" s="18">
        <f>PRODUCT(K527,N527)</f>
        <v>17802</v>
      </c>
    </row>
    <row r="528" spans="1:17" x14ac:dyDescent="0.45">
      <c r="A528" s="6" t="s">
        <v>698</v>
      </c>
      <c r="B528" s="9" t="s">
        <v>692</v>
      </c>
      <c r="C528" s="6" t="s">
        <v>45</v>
      </c>
      <c r="D528" s="18">
        <f ca="1">RANDBETWEEN(500,1000)</f>
        <v>621</v>
      </c>
      <c r="E528" s="19">
        <v>45450</v>
      </c>
      <c r="F528" s="18">
        <v>68</v>
      </c>
      <c r="G528" s="20">
        <v>0.86</v>
      </c>
      <c r="H528" s="18">
        <f t="shared" ca="1" si="30"/>
        <v>56</v>
      </c>
      <c r="I528" s="18">
        <f t="shared" ca="1" si="31"/>
        <v>184</v>
      </c>
      <c r="J528" s="15">
        <f ca="1">K528-L528</f>
        <v>50</v>
      </c>
      <c r="K528" s="15">
        <v>129</v>
      </c>
      <c r="L528" s="15">
        <f ca="1">RANDBETWEEN(30,87)</f>
        <v>79</v>
      </c>
      <c r="M528" s="11">
        <f ca="1">(L528/J528)</f>
        <v>1.58</v>
      </c>
      <c r="N528" s="18">
        <v>37</v>
      </c>
      <c r="O528" s="18" t="str">
        <f t="shared" ca="1" si="32"/>
        <v>Optimal</v>
      </c>
      <c r="P528" s="11" t="str">
        <f ca="1">RANDBETWEEN(30,76)&amp;"%"</f>
        <v>30%</v>
      </c>
      <c r="Q528" s="18">
        <f>PRODUCT(K528,N528)</f>
        <v>4773</v>
      </c>
    </row>
    <row r="529" spans="1:17" x14ac:dyDescent="0.45">
      <c r="A529" s="6" t="s">
        <v>699</v>
      </c>
      <c r="B529" s="9" t="s">
        <v>692</v>
      </c>
      <c r="C529" s="6" t="s">
        <v>45</v>
      </c>
      <c r="D529" s="18">
        <f ca="1">RANDBETWEEN(500,1000)</f>
        <v>964</v>
      </c>
      <c r="E529" s="19">
        <v>45691</v>
      </c>
      <c r="F529" s="18">
        <v>35</v>
      </c>
      <c r="G529" s="20">
        <v>0.57999999999999996</v>
      </c>
      <c r="H529" s="18">
        <f t="shared" ca="1" si="30"/>
        <v>61</v>
      </c>
      <c r="I529" s="18">
        <f t="shared" ca="1" si="31"/>
        <v>157</v>
      </c>
      <c r="J529" s="15">
        <f ca="1">K529-L529</f>
        <v>585</v>
      </c>
      <c r="K529" s="15">
        <v>645</v>
      </c>
      <c r="L529" s="15">
        <f ca="1">RANDBETWEEN(30,87)</f>
        <v>60</v>
      </c>
      <c r="M529" s="11">
        <f ca="1">(L529/J529)</f>
        <v>0.10256410256410256</v>
      </c>
      <c r="N529" s="18">
        <v>76</v>
      </c>
      <c r="O529" s="18" t="str">
        <f t="shared" ca="1" si="32"/>
        <v>Understocked</v>
      </c>
      <c r="P529" s="11" t="str">
        <f ca="1">RANDBETWEEN(30,76)&amp;"%"</f>
        <v>51%</v>
      </c>
      <c r="Q529" s="18">
        <f>PRODUCT(K529,N529)</f>
        <v>49020</v>
      </c>
    </row>
    <row r="530" spans="1:17" x14ac:dyDescent="0.45">
      <c r="A530" s="6" t="s">
        <v>700</v>
      </c>
      <c r="B530" s="9" t="s">
        <v>692</v>
      </c>
      <c r="C530" s="6" t="s">
        <v>45</v>
      </c>
      <c r="D530" s="18">
        <f ca="1">RANDBETWEEN(500,1000)</f>
        <v>617</v>
      </c>
      <c r="E530" s="19">
        <v>45530</v>
      </c>
      <c r="F530" s="18">
        <v>39</v>
      </c>
      <c r="G530" s="20">
        <v>0.64</v>
      </c>
      <c r="H530" s="18">
        <f t="shared" ca="1" si="30"/>
        <v>56</v>
      </c>
      <c r="I530" s="18">
        <f t="shared" ca="1" si="31"/>
        <v>106</v>
      </c>
      <c r="J530" s="15">
        <f ca="1">K530-L530</f>
        <v>964</v>
      </c>
      <c r="K530" s="15">
        <v>1032</v>
      </c>
      <c r="L530" s="15">
        <f ca="1">RANDBETWEEN(30,87)</f>
        <v>68</v>
      </c>
      <c r="M530" s="11">
        <f ca="1">(L530/J530)</f>
        <v>7.0539419087136929E-2</v>
      </c>
      <c r="N530" s="18">
        <v>25</v>
      </c>
      <c r="O530" s="18" t="str">
        <f t="shared" ca="1" si="32"/>
        <v>Understocked</v>
      </c>
      <c r="P530" s="11" t="str">
        <f ca="1">RANDBETWEEN(30,76)&amp;"%"</f>
        <v>72%</v>
      </c>
      <c r="Q530" s="18">
        <f>PRODUCT(K530,N530)</f>
        <v>25800</v>
      </c>
    </row>
    <row r="531" spans="1:17" x14ac:dyDescent="0.45">
      <c r="A531" s="6" t="s">
        <v>701</v>
      </c>
      <c r="B531" s="9" t="s">
        <v>692</v>
      </c>
      <c r="C531" s="6" t="s">
        <v>45</v>
      </c>
      <c r="D531" s="18">
        <f ca="1">RANDBETWEEN(500,1000)</f>
        <v>575</v>
      </c>
      <c r="E531" s="19">
        <v>45387</v>
      </c>
      <c r="F531" s="18">
        <v>74</v>
      </c>
      <c r="G531" s="20">
        <v>0.77</v>
      </c>
      <c r="H531" s="18">
        <f t="shared" ca="1" si="30"/>
        <v>68</v>
      </c>
      <c r="I531" s="18">
        <f t="shared" ca="1" si="31"/>
        <v>174</v>
      </c>
      <c r="J531" s="15">
        <f ca="1">K531-L531</f>
        <v>137.4</v>
      </c>
      <c r="K531" s="15">
        <v>206.4</v>
      </c>
      <c r="L531" s="15">
        <f ca="1">RANDBETWEEN(30,87)</f>
        <v>69</v>
      </c>
      <c r="M531" s="11">
        <f ca="1">(L531/J531)</f>
        <v>0.50218340611353707</v>
      </c>
      <c r="N531" s="18">
        <v>97</v>
      </c>
      <c r="O531" s="18" t="str">
        <f t="shared" ca="1" si="32"/>
        <v>Optimal</v>
      </c>
      <c r="P531" s="11" t="str">
        <f ca="1">RANDBETWEEN(30,76)&amp;"%"</f>
        <v>48%</v>
      </c>
      <c r="Q531" s="18">
        <f>PRODUCT(K531,N531)</f>
        <v>20020.8</v>
      </c>
    </row>
    <row r="532" spans="1:17" x14ac:dyDescent="0.45">
      <c r="A532" s="6" t="s">
        <v>702</v>
      </c>
      <c r="B532" s="9" t="s">
        <v>692</v>
      </c>
      <c r="C532" s="6" t="s">
        <v>45</v>
      </c>
      <c r="D532" s="18">
        <f ca="1">RANDBETWEEN(500,1000)</f>
        <v>740</v>
      </c>
      <c r="E532" s="19">
        <v>45507</v>
      </c>
      <c r="F532" s="18">
        <v>50</v>
      </c>
      <c r="G532" s="20">
        <v>0.52</v>
      </c>
      <c r="H532" s="18">
        <f t="shared" ca="1" si="30"/>
        <v>62</v>
      </c>
      <c r="I532" s="18">
        <f t="shared" ca="1" si="31"/>
        <v>110</v>
      </c>
      <c r="J532" s="15">
        <f ca="1">K532-L532</f>
        <v>42</v>
      </c>
      <c r="K532" s="15">
        <v>129</v>
      </c>
      <c r="L532" s="15">
        <f ca="1">RANDBETWEEN(30,87)</f>
        <v>87</v>
      </c>
      <c r="M532" s="11">
        <f ca="1">(L532/J532)</f>
        <v>2.0714285714285716</v>
      </c>
      <c r="N532" s="18">
        <v>30</v>
      </c>
      <c r="O532" s="18" t="str">
        <f t="shared" ca="1" si="32"/>
        <v>Understocked</v>
      </c>
      <c r="P532" s="11" t="str">
        <f ca="1">RANDBETWEEN(30,76)&amp;"%"</f>
        <v>52%</v>
      </c>
      <c r="Q532" s="18">
        <f>PRODUCT(K532,N532)</f>
        <v>3870</v>
      </c>
    </row>
    <row r="533" spans="1:17" x14ac:dyDescent="0.45">
      <c r="A533" s="6" t="s">
        <v>704</v>
      </c>
      <c r="B533" s="9" t="s">
        <v>705</v>
      </c>
      <c r="C533" s="6" t="s">
        <v>45</v>
      </c>
      <c r="D533" s="18">
        <f ca="1">RANDBETWEEN(500,1000)</f>
        <v>658</v>
      </c>
      <c r="E533" s="19">
        <v>45478</v>
      </c>
      <c r="F533" s="18">
        <v>94</v>
      </c>
      <c r="G533" s="20">
        <v>0.41</v>
      </c>
      <c r="H533" s="18">
        <f t="shared" ref="H533:H590" ca="1" si="33">RANDBETWEEN(50,80)</f>
        <v>61</v>
      </c>
      <c r="I533" s="18">
        <f t="shared" ref="I533:I590" ca="1" si="34">RANDBETWEEN(70,200)</f>
        <v>162</v>
      </c>
      <c r="J533" s="15">
        <f ca="1">K533-L533</f>
        <v>105</v>
      </c>
      <c r="K533" s="15">
        <v>172</v>
      </c>
      <c r="L533" s="15">
        <f ca="1">RANDBETWEEN(30,87)</f>
        <v>67</v>
      </c>
      <c r="M533" s="11">
        <f ca="1">(L533/J533)</f>
        <v>0.63809523809523805</v>
      </c>
      <c r="N533" s="18">
        <v>57</v>
      </c>
      <c r="O533" s="18" t="str">
        <f t="shared" ref="O533:O590" ca="1" si="35">IF(F533&lt;H533,"Understocked","Optimal")</f>
        <v>Optimal</v>
      </c>
      <c r="P533" s="11" t="str">
        <f ca="1">RANDBETWEEN(30,76)&amp;"%"</f>
        <v>30%</v>
      </c>
      <c r="Q533" s="18">
        <f>PRODUCT(K533,N533)</f>
        <v>9804</v>
      </c>
    </row>
    <row r="534" spans="1:17" x14ac:dyDescent="0.45">
      <c r="A534" s="6" t="s">
        <v>706</v>
      </c>
      <c r="B534" s="9" t="s">
        <v>705</v>
      </c>
      <c r="C534" s="6" t="s">
        <v>45</v>
      </c>
      <c r="D534" s="18">
        <f ca="1">RANDBETWEEN(500,1000)</f>
        <v>584</v>
      </c>
      <c r="E534" s="19">
        <v>45635</v>
      </c>
      <c r="F534" s="18">
        <v>36</v>
      </c>
      <c r="G534" s="20">
        <v>0.46</v>
      </c>
      <c r="H534" s="18">
        <f t="shared" ca="1" si="33"/>
        <v>62</v>
      </c>
      <c r="I534" s="18">
        <f t="shared" ca="1" si="34"/>
        <v>71</v>
      </c>
      <c r="J534" s="15">
        <f ca="1">K534-L534</f>
        <v>234</v>
      </c>
      <c r="K534" s="15">
        <v>301</v>
      </c>
      <c r="L534" s="15">
        <f ca="1">RANDBETWEEN(30,87)</f>
        <v>67</v>
      </c>
      <c r="M534" s="11">
        <f ca="1">(L534/J534)</f>
        <v>0.28632478632478631</v>
      </c>
      <c r="N534" s="18">
        <v>25</v>
      </c>
      <c r="O534" s="18" t="str">
        <f t="shared" ca="1" si="35"/>
        <v>Understocked</v>
      </c>
      <c r="P534" s="11" t="str">
        <f ca="1">RANDBETWEEN(30,76)&amp;"%"</f>
        <v>73%</v>
      </c>
      <c r="Q534" s="18">
        <f>PRODUCT(K534,N534)</f>
        <v>7525</v>
      </c>
    </row>
    <row r="535" spans="1:17" x14ac:dyDescent="0.45">
      <c r="A535" s="6" t="s">
        <v>707</v>
      </c>
      <c r="B535" s="9" t="s">
        <v>705</v>
      </c>
      <c r="C535" s="6" t="s">
        <v>45</v>
      </c>
      <c r="D535" s="18">
        <f ca="1">RANDBETWEEN(500,1000)</f>
        <v>870</v>
      </c>
      <c r="E535" s="19">
        <v>45636</v>
      </c>
      <c r="F535" s="18">
        <v>44</v>
      </c>
      <c r="G535" s="20">
        <v>0.36</v>
      </c>
      <c r="H535" s="18">
        <f t="shared" ca="1" si="33"/>
        <v>77</v>
      </c>
      <c r="I535" s="18">
        <f t="shared" ca="1" si="34"/>
        <v>72</v>
      </c>
      <c r="J535" s="15">
        <f ca="1">K535-L535</f>
        <v>102</v>
      </c>
      <c r="K535" s="15">
        <v>172</v>
      </c>
      <c r="L535" s="15">
        <f ca="1">RANDBETWEEN(30,87)</f>
        <v>70</v>
      </c>
      <c r="M535" s="11">
        <f ca="1">(L535/J535)</f>
        <v>0.68627450980392157</v>
      </c>
      <c r="N535" s="18">
        <v>42</v>
      </c>
      <c r="O535" s="18" t="str">
        <f t="shared" ca="1" si="35"/>
        <v>Understocked</v>
      </c>
      <c r="P535" s="11" t="str">
        <f ca="1">RANDBETWEEN(30,76)&amp;"%"</f>
        <v>39%</v>
      </c>
      <c r="Q535" s="18">
        <f>PRODUCT(K535,N535)</f>
        <v>7224</v>
      </c>
    </row>
    <row r="536" spans="1:17" x14ac:dyDescent="0.45">
      <c r="A536" s="6" t="s">
        <v>708</v>
      </c>
      <c r="B536" s="9" t="s">
        <v>705</v>
      </c>
      <c r="C536" s="6" t="s">
        <v>45</v>
      </c>
      <c r="D536" s="18">
        <f ca="1">RANDBETWEEN(500,1000)</f>
        <v>994</v>
      </c>
      <c r="E536" s="19">
        <v>45521</v>
      </c>
      <c r="F536" s="18">
        <v>75</v>
      </c>
      <c r="G536" s="20">
        <v>0.56000000000000005</v>
      </c>
      <c r="H536" s="18">
        <f t="shared" ca="1" si="33"/>
        <v>59</v>
      </c>
      <c r="I536" s="18">
        <f t="shared" ca="1" si="34"/>
        <v>141</v>
      </c>
      <c r="J536" s="15">
        <f ca="1">K536-L536</f>
        <v>288</v>
      </c>
      <c r="K536" s="15">
        <v>344</v>
      </c>
      <c r="L536" s="15">
        <f ca="1">RANDBETWEEN(30,87)</f>
        <v>56</v>
      </c>
      <c r="M536" s="11">
        <f ca="1">(L536/J536)</f>
        <v>0.19444444444444445</v>
      </c>
      <c r="N536" s="18">
        <v>96</v>
      </c>
      <c r="O536" s="18" t="str">
        <f t="shared" ca="1" si="35"/>
        <v>Optimal</v>
      </c>
      <c r="P536" s="11" t="str">
        <f ca="1">RANDBETWEEN(30,76)&amp;"%"</f>
        <v>52%</v>
      </c>
      <c r="Q536" s="18">
        <f>PRODUCT(K536,N536)</f>
        <v>33024</v>
      </c>
    </row>
    <row r="537" spans="1:17" x14ac:dyDescent="0.45">
      <c r="A537" s="6" t="s">
        <v>709</v>
      </c>
      <c r="B537" s="9" t="s">
        <v>705</v>
      </c>
      <c r="C537" s="6" t="s">
        <v>45</v>
      </c>
      <c r="D537" s="18">
        <f ca="1">RANDBETWEEN(500,1000)</f>
        <v>924</v>
      </c>
      <c r="E537" s="19">
        <v>45609</v>
      </c>
      <c r="F537" s="18">
        <v>88</v>
      </c>
      <c r="G537" s="20">
        <v>0.51</v>
      </c>
      <c r="H537" s="18">
        <f t="shared" ca="1" si="33"/>
        <v>67</v>
      </c>
      <c r="I537" s="18">
        <f t="shared" ca="1" si="34"/>
        <v>115</v>
      </c>
      <c r="J537" s="15">
        <f ca="1">K537-L537</f>
        <v>353</v>
      </c>
      <c r="K537" s="15">
        <v>430</v>
      </c>
      <c r="L537" s="15">
        <f ca="1">RANDBETWEEN(30,87)</f>
        <v>77</v>
      </c>
      <c r="M537" s="11">
        <f ca="1">(L537/J537)</f>
        <v>0.21813031161473087</v>
      </c>
      <c r="N537" s="18">
        <v>63</v>
      </c>
      <c r="O537" s="18" t="str">
        <f t="shared" ca="1" si="35"/>
        <v>Optimal</v>
      </c>
      <c r="P537" s="11" t="str">
        <f ca="1">RANDBETWEEN(30,76)&amp;"%"</f>
        <v>40%</v>
      </c>
      <c r="Q537" s="18">
        <f>PRODUCT(K537,N537)</f>
        <v>27090</v>
      </c>
    </row>
    <row r="538" spans="1:17" x14ac:dyDescent="0.45">
      <c r="A538" s="6" t="s">
        <v>710</v>
      </c>
      <c r="B538" s="9" t="s">
        <v>705</v>
      </c>
      <c r="C538" s="6" t="s">
        <v>45</v>
      </c>
      <c r="D538" s="18">
        <f ca="1">RANDBETWEEN(500,1000)</f>
        <v>961</v>
      </c>
      <c r="E538" s="19">
        <v>45499</v>
      </c>
      <c r="F538" s="18">
        <v>41</v>
      </c>
      <c r="G538" s="20">
        <v>0.64</v>
      </c>
      <c r="H538" s="18">
        <f t="shared" ca="1" si="33"/>
        <v>54</v>
      </c>
      <c r="I538" s="18">
        <f t="shared" ca="1" si="34"/>
        <v>174</v>
      </c>
      <c r="J538" s="15">
        <f ca="1">K538-L538</f>
        <v>62</v>
      </c>
      <c r="K538" s="15">
        <v>129</v>
      </c>
      <c r="L538" s="15">
        <f ca="1">RANDBETWEEN(30,87)</f>
        <v>67</v>
      </c>
      <c r="M538" s="11">
        <f ca="1">(L538/J538)</f>
        <v>1.0806451612903225</v>
      </c>
      <c r="N538" s="18">
        <v>88</v>
      </c>
      <c r="O538" s="18" t="str">
        <f t="shared" ca="1" si="35"/>
        <v>Understocked</v>
      </c>
      <c r="P538" s="11" t="str">
        <f ca="1">RANDBETWEEN(30,76)&amp;"%"</f>
        <v>41%</v>
      </c>
      <c r="Q538" s="18">
        <f>PRODUCT(K538,N538)</f>
        <v>11352</v>
      </c>
    </row>
    <row r="539" spans="1:17" x14ac:dyDescent="0.45">
      <c r="A539" s="6" t="s">
        <v>711</v>
      </c>
      <c r="B539" s="9" t="s">
        <v>705</v>
      </c>
      <c r="C539" s="6" t="s">
        <v>45</v>
      </c>
      <c r="D539" s="18">
        <f ca="1">RANDBETWEEN(500,1000)</f>
        <v>591</v>
      </c>
      <c r="E539" s="19">
        <v>45674</v>
      </c>
      <c r="F539" s="18">
        <v>92</v>
      </c>
      <c r="G539" s="20">
        <v>0.42</v>
      </c>
      <c r="H539" s="18">
        <f t="shared" ca="1" si="33"/>
        <v>67</v>
      </c>
      <c r="I539" s="18">
        <f t="shared" ca="1" si="34"/>
        <v>126</v>
      </c>
      <c r="J539" s="15">
        <f ca="1">K539-L539</f>
        <v>816</v>
      </c>
      <c r="K539" s="15">
        <v>860</v>
      </c>
      <c r="L539" s="15">
        <f ca="1">RANDBETWEEN(30,87)</f>
        <v>44</v>
      </c>
      <c r="M539" s="11">
        <f ca="1">(L539/J539)</f>
        <v>5.3921568627450983E-2</v>
      </c>
      <c r="N539" s="18">
        <v>79</v>
      </c>
      <c r="O539" s="18" t="str">
        <f t="shared" ca="1" si="35"/>
        <v>Optimal</v>
      </c>
      <c r="P539" s="11" t="str">
        <f ca="1">RANDBETWEEN(30,76)&amp;"%"</f>
        <v>73%</v>
      </c>
      <c r="Q539" s="18">
        <f>PRODUCT(K539,N539)</f>
        <v>67940</v>
      </c>
    </row>
    <row r="540" spans="1:17" x14ac:dyDescent="0.45">
      <c r="A540" s="6" t="s">
        <v>712</v>
      </c>
      <c r="B540" s="9" t="s">
        <v>705</v>
      </c>
      <c r="C540" s="6" t="s">
        <v>45</v>
      </c>
      <c r="D540" s="18">
        <f ca="1">RANDBETWEEN(500,1000)</f>
        <v>984</v>
      </c>
      <c r="E540" s="19">
        <v>45376</v>
      </c>
      <c r="F540" s="18">
        <v>81</v>
      </c>
      <c r="G540" s="20">
        <v>0.73</v>
      </c>
      <c r="H540" s="18">
        <f t="shared" ca="1" si="33"/>
        <v>71</v>
      </c>
      <c r="I540" s="18">
        <f t="shared" ca="1" si="34"/>
        <v>193</v>
      </c>
      <c r="J540" s="15">
        <f ca="1">K540-L540</f>
        <v>171</v>
      </c>
      <c r="K540" s="15">
        <v>215</v>
      </c>
      <c r="L540" s="15">
        <f ca="1">RANDBETWEEN(30,87)</f>
        <v>44</v>
      </c>
      <c r="M540" s="11">
        <f ca="1">(L540/J540)</f>
        <v>0.25730994152046782</v>
      </c>
      <c r="N540" s="18">
        <v>86</v>
      </c>
      <c r="O540" s="18" t="str">
        <f t="shared" ca="1" si="35"/>
        <v>Optimal</v>
      </c>
      <c r="P540" s="11" t="str">
        <f ca="1">RANDBETWEEN(30,76)&amp;"%"</f>
        <v>59%</v>
      </c>
      <c r="Q540" s="18">
        <f>PRODUCT(K540,N540)</f>
        <v>18490</v>
      </c>
    </row>
    <row r="541" spans="1:17" x14ac:dyDescent="0.45">
      <c r="A541" s="6" t="s">
        <v>713</v>
      </c>
      <c r="B541" s="9" t="s">
        <v>705</v>
      </c>
      <c r="C541" s="6" t="s">
        <v>45</v>
      </c>
      <c r="D541" s="18">
        <f ca="1">RANDBETWEEN(500,1000)</f>
        <v>542</v>
      </c>
      <c r="E541" s="19">
        <v>45654</v>
      </c>
      <c r="F541" s="18">
        <v>85</v>
      </c>
      <c r="G541" s="20">
        <v>0.37</v>
      </c>
      <c r="H541" s="18">
        <f t="shared" ca="1" si="33"/>
        <v>64</v>
      </c>
      <c r="I541" s="18">
        <f t="shared" ca="1" si="34"/>
        <v>153</v>
      </c>
      <c r="J541" s="15">
        <f ca="1">K541-L541</f>
        <v>260</v>
      </c>
      <c r="K541" s="15">
        <v>344</v>
      </c>
      <c r="L541" s="15">
        <f ca="1">RANDBETWEEN(30,87)</f>
        <v>84</v>
      </c>
      <c r="M541" s="11">
        <f ca="1">(L541/J541)</f>
        <v>0.32307692307692309</v>
      </c>
      <c r="N541" s="18">
        <v>95</v>
      </c>
      <c r="O541" s="18" t="str">
        <f t="shared" ca="1" si="35"/>
        <v>Optimal</v>
      </c>
      <c r="P541" s="11" t="str">
        <f ca="1">RANDBETWEEN(30,76)&amp;"%"</f>
        <v>31%</v>
      </c>
      <c r="Q541" s="18">
        <f>PRODUCT(K541,N541)</f>
        <v>32680</v>
      </c>
    </row>
    <row r="542" spans="1:17" x14ac:dyDescent="0.45">
      <c r="A542" s="6" t="s">
        <v>714</v>
      </c>
      <c r="B542" s="9" t="s">
        <v>705</v>
      </c>
      <c r="C542" s="6" t="s">
        <v>45</v>
      </c>
      <c r="D542" s="18">
        <f ca="1">RANDBETWEEN(500,1000)</f>
        <v>954</v>
      </c>
      <c r="E542" s="19">
        <v>45426</v>
      </c>
      <c r="F542" s="18">
        <v>84</v>
      </c>
      <c r="G542" s="20">
        <v>0.43</v>
      </c>
      <c r="H542" s="18">
        <f t="shared" ca="1" si="33"/>
        <v>56</v>
      </c>
      <c r="I542" s="18">
        <f t="shared" ca="1" si="34"/>
        <v>83</v>
      </c>
      <c r="J542" s="15">
        <f ca="1">K542-L542</f>
        <v>107.5</v>
      </c>
      <c r="K542" s="15">
        <v>150.5</v>
      </c>
      <c r="L542" s="15">
        <f ca="1">RANDBETWEEN(30,87)</f>
        <v>43</v>
      </c>
      <c r="M542" s="11">
        <f ca="1">(L542/J542)</f>
        <v>0.4</v>
      </c>
      <c r="N542" s="18">
        <v>48</v>
      </c>
      <c r="O542" s="18" t="str">
        <f t="shared" ca="1" si="35"/>
        <v>Optimal</v>
      </c>
      <c r="P542" s="11" t="str">
        <f ca="1">RANDBETWEEN(30,76)&amp;"%"</f>
        <v>47%</v>
      </c>
      <c r="Q542" s="18">
        <f>PRODUCT(K542,N542)</f>
        <v>7224</v>
      </c>
    </row>
    <row r="543" spans="1:17" x14ac:dyDescent="0.45">
      <c r="A543" s="6" t="s">
        <v>715</v>
      </c>
      <c r="B543" s="9" t="s">
        <v>705</v>
      </c>
      <c r="C543" s="6" t="s">
        <v>45</v>
      </c>
      <c r="D543" s="18">
        <f ca="1">RANDBETWEEN(500,1000)</f>
        <v>675</v>
      </c>
      <c r="E543" s="19">
        <v>45701</v>
      </c>
      <c r="F543" s="18">
        <v>15</v>
      </c>
      <c r="G543" s="20">
        <v>0.38</v>
      </c>
      <c r="H543" s="18">
        <f t="shared" ca="1" si="33"/>
        <v>55</v>
      </c>
      <c r="I543" s="18">
        <f t="shared" ca="1" si="34"/>
        <v>89</v>
      </c>
      <c r="J543" s="15">
        <f ca="1">K543-L543</f>
        <v>287</v>
      </c>
      <c r="K543" s="15">
        <v>344</v>
      </c>
      <c r="L543" s="15">
        <f ca="1">RANDBETWEEN(30,87)</f>
        <v>57</v>
      </c>
      <c r="M543" s="11">
        <f ca="1">(L543/J543)</f>
        <v>0.19860627177700349</v>
      </c>
      <c r="N543" s="18">
        <v>56</v>
      </c>
      <c r="O543" s="18" t="str">
        <f t="shared" ca="1" si="35"/>
        <v>Understocked</v>
      </c>
      <c r="P543" s="11" t="str">
        <f ca="1">RANDBETWEEN(30,76)&amp;"%"</f>
        <v>71%</v>
      </c>
      <c r="Q543" s="18">
        <f>PRODUCT(K543,N543)</f>
        <v>19264</v>
      </c>
    </row>
    <row r="544" spans="1:17" x14ac:dyDescent="0.45">
      <c r="A544" s="6" t="s">
        <v>725</v>
      </c>
      <c r="B544" s="9" t="s">
        <v>726</v>
      </c>
      <c r="C544" s="6" t="s">
        <v>45</v>
      </c>
      <c r="D544" s="18">
        <f ca="1">RANDBETWEEN(500,1000)</f>
        <v>510</v>
      </c>
      <c r="E544" s="19">
        <v>45564</v>
      </c>
      <c r="F544" s="18">
        <v>97</v>
      </c>
      <c r="G544" s="20">
        <v>0.79</v>
      </c>
      <c r="H544" s="18">
        <f t="shared" ca="1" si="33"/>
        <v>63</v>
      </c>
      <c r="I544" s="18">
        <f t="shared" ca="1" si="34"/>
        <v>196</v>
      </c>
      <c r="J544" s="15">
        <f ca="1">K544-L544</f>
        <v>164.4</v>
      </c>
      <c r="K544" s="15">
        <v>206.4</v>
      </c>
      <c r="L544" s="15">
        <f ca="1">RANDBETWEEN(30,87)</f>
        <v>42</v>
      </c>
      <c r="M544" s="11">
        <f ca="1">(L544/J544)</f>
        <v>0.25547445255474449</v>
      </c>
      <c r="N544" s="18">
        <v>53</v>
      </c>
      <c r="O544" s="18" t="str">
        <f t="shared" ca="1" si="35"/>
        <v>Optimal</v>
      </c>
      <c r="P544" s="11" t="str">
        <f ca="1">RANDBETWEEN(30,76)&amp;"%"</f>
        <v>63%</v>
      </c>
      <c r="Q544" s="18">
        <f>PRODUCT(K544,N544)</f>
        <v>10939.2</v>
      </c>
    </row>
    <row r="545" spans="1:17" x14ac:dyDescent="0.45">
      <c r="A545" s="6" t="s">
        <v>727</v>
      </c>
      <c r="B545" s="9" t="s">
        <v>726</v>
      </c>
      <c r="C545" s="6" t="s">
        <v>45</v>
      </c>
      <c r="D545" s="18">
        <f ca="1">RANDBETWEEN(500,1000)</f>
        <v>705</v>
      </c>
      <c r="E545" s="19">
        <v>45508</v>
      </c>
      <c r="F545" s="18">
        <v>81</v>
      </c>
      <c r="G545" s="20">
        <v>0.75</v>
      </c>
      <c r="H545" s="18">
        <f t="shared" ca="1" si="33"/>
        <v>51</v>
      </c>
      <c r="I545" s="18">
        <f t="shared" ca="1" si="34"/>
        <v>87</v>
      </c>
      <c r="J545" s="15">
        <f ca="1">K545-L545</f>
        <v>185</v>
      </c>
      <c r="K545" s="15">
        <v>215</v>
      </c>
      <c r="L545" s="15">
        <f ca="1">RANDBETWEEN(30,87)</f>
        <v>30</v>
      </c>
      <c r="M545" s="11">
        <f ca="1">(L545/J545)</f>
        <v>0.16216216216216217</v>
      </c>
      <c r="N545" s="18">
        <v>23</v>
      </c>
      <c r="O545" s="18" t="str">
        <f t="shared" ca="1" si="35"/>
        <v>Optimal</v>
      </c>
      <c r="P545" s="11" t="str">
        <f ca="1">RANDBETWEEN(30,76)&amp;"%"</f>
        <v>74%</v>
      </c>
      <c r="Q545" s="18">
        <f>PRODUCT(K545,N545)</f>
        <v>4945</v>
      </c>
    </row>
    <row r="546" spans="1:17" x14ac:dyDescent="0.45">
      <c r="A546" s="6" t="s">
        <v>728</v>
      </c>
      <c r="B546" s="9" t="s">
        <v>726</v>
      </c>
      <c r="C546" s="6" t="s">
        <v>45</v>
      </c>
      <c r="D546" s="18">
        <f ca="1">RANDBETWEEN(500,1000)</f>
        <v>652</v>
      </c>
      <c r="E546" s="19">
        <v>45703</v>
      </c>
      <c r="F546" s="18">
        <v>84</v>
      </c>
      <c r="G546" s="20">
        <v>0.78</v>
      </c>
      <c r="H546" s="18">
        <f t="shared" ca="1" si="33"/>
        <v>59</v>
      </c>
      <c r="I546" s="18">
        <f t="shared" ca="1" si="34"/>
        <v>198</v>
      </c>
      <c r="J546" s="15">
        <f ca="1">K546-L546</f>
        <v>289</v>
      </c>
      <c r="K546" s="15">
        <v>344</v>
      </c>
      <c r="L546" s="15">
        <f ca="1">RANDBETWEEN(30,87)</f>
        <v>55</v>
      </c>
      <c r="M546" s="11">
        <f ca="1">(L546/J546)</f>
        <v>0.19031141868512111</v>
      </c>
      <c r="N546" s="18">
        <v>54</v>
      </c>
      <c r="O546" s="18" t="str">
        <f t="shared" ca="1" si="35"/>
        <v>Optimal</v>
      </c>
      <c r="P546" s="11" t="str">
        <f ca="1">RANDBETWEEN(30,76)&amp;"%"</f>
        <v>40%</v>
      </c>
      <c r="Q546" s="18">
        <f>PRODUCT(K546,N546)</f>
        <v>18576</v>
      </c>
    </row>
    <row r="547" spans="1:17" x14ac:dyDescent="0.45">
      <c r="A547" s="6" t="s">
        <v>729</v>
      </c>
      <c r="B547" s="9" t="s">
        <v>726</v>
      </c>
      <c r="C547" s="6" t="s">
        <v>45</v>
      </c>
      <c r="D547" s="18">
        <f ca="1">RANDBETWEEN(500,1000)</f>
        <v>625</v>
      </c>
      <c r="E547" s="19">
        <v>45639</v>
      </c>
      <c r="F547" s="18">
        <v>20</v>
      </c>
      <c r="G547" s="20">
        <v>0.83</v>
      </c>
      <c r="H547" s="18">
        <f t="shared" ca="1" si="33"/>
        <v>54</v>
      </c>
      <c r="I547" s="18">
        <f t="shared" ca="1" si="34"/>
        <v>123</v>
      </c>
      <c r="J547" s="15">
        <f ca="1">K547-L547</f>
        <v>561</v>
      </c>
      <c r="K547" s="15">
        <v>602</v>
      </c>
      <c r="L547" s="15">
        <f ca="1">RANDBETWEEN(30,87)</f>
        <v>41</v>
      </c>
      <c r="M547" s="11">
        <f ca="1">(L547/J547)</f>
        <v>7.3083778966131913E-2</v>
      </c>
      <c r="N547" s="18">
        <v>35</v>
      </c>
      <c r="O547" s="18" t="str">
        <f t="shared" ca="1" si="35"/>
        <v>Understocked</v>
      </c>
      <c r="P547" s="11" t="str">
        <f ca="1">RANDBETWEEN(30,76)&amp;"%"</f>
        <v>75%</v>
      </c>
      <c r="Q547" s="18">
        <f>PRODUCT(K547,N547)</f>
        <v>21070</v>
      </c>
    </row>
    <row r="548" spans="1:17" x14ac:dyDescent="0.45">
      <c r="A548" s="6" t="s">
        <v>730</v>
      </c>
      <c r="B548" s="9" t="s">
        <v>726</v>
      </c>
      <c r="C548" s="6" t="s">
        <v>45</v>
      </c>
      <c r="D548" s="18">
        <f ca="1">RANDBETWEEN(500,1000)</f>
        <v>699</v>
      </c>
      <c r="E548" s="19">
        <v>45352</v>
      </c>
      <c r="F548" s="18">
        <v>19</v>
      </c>
      <c r="G548" s="20">
        <v>0.82</v>
      </c>
      <c r="H548" s="18">
        <f t="shared" ca="1" si="33"/>
        <v>73</v>
      </c>
      <c r="I548" s="18">
        <f t="shared" ca="1" si="34"/>
        <v>88</v>
      </c>
      <c r="J548" s="15">
        <f ca="1">K548-L548</f>
        <v>735.4</v>
      </c>
      <c r="K548" s="15">
        <v>765.4</v>
      </c>
      <c r="L548" s="15">
        <f ca="1">RANDBETWEEN(30,87)</f>
        <v>30</v>
      </c>
      <c r="M548" s="11">
        <f ca="1">(L548/J548)</f>
        <v>4.0794125645906988E-2</v>
      </c>
      <c r="N548" s="18">
        <v>91</v>
      </c>
      <c r="O548" s="18" t="str">
        <f t="shared" ca="1" si="35"/>
        <v>Understocked</v>
      </c>
      <c r="P548" s="11" t="str">
        <f ca="1">RANDBETWEEN(30,76)&amp;"%"</f>
        <v>36%</v>
      </c>
      <c r="Q548" s="18">
        <f>PRODUCT(K548,N548)</f>
        <v>69651.399999999994</v>
      </c>
    </row>
    <row r="549" spans="1:17" x14ac:dyDescent="0.45">
      <c r="A549" s="6" t="s">
        <v>731</v>
      </c>
      <c r="B549" s="9" t="s">
        <v>726</v>
      </c>
      <c r="C549" s="6" t="s">
        <v>45</v>
      </c>
      <c r="D549" s="18">
        <f ca="1">RANDBETWEEN(500,1000)</f>
        <v>646</v>
      </c>
      <c r="E549" s="19">
        <v>45680</v>
      </c>
      <c r="F549" s="18">
        <v>45</v>
      </c>
      <c r="G549" s="20">
        <v>0.47</v>
      </c>
      <c r="H549" s="18">
        <f t="shared" ca="1" si="33"/>
        <v>61</v>
      </c>
      <c r="I549" s="18">
        <f t="shared" ca="1" si="34"/>
        <v>188</v>
      </c>
      <c r="J549" s="15">
        <f ca="1">K549-L549</f>
        <v>828</v>
      </c>
      <c r="K549" s="15">
        <v>860</v>
      </c>
      <c r="L549" s="15">
        <f ca="1">RANDBETWEEN(30,87)</f>
        <v>32</v>
      </c>
      <c r="M549" s="11">
        <f ca="1">(L549/J549)</f>
        <v>3.864734299516908E-2</v>
      </c>
      <c r="N549" s="18">
        <v>35</v>
      </c>
      <c r="O549" s="18" t="str">
        <f t="shared" ca="1" si="35"/>
        <v>Understocked</v>
      </c>
      <c r="P549" s="11" t="str">
        <f ca="1">RANDBETWEEN(30,76)&amp;"%"</f>
        <v>62%</v>
      </c>
      <c r="Q549" s="18">
        <f>PRODUCT(K549,N549)</f>
        <v>30100</v>
      </c>
    </row>
    <row r="550" spans="1:17" x14ac:dyDescent="0.45">
      <c r="A550" s="6" t="s">
        <v>732</v>
      </c>
      <c r="B550" s="9" t="s">
        <v>726</v>
      </c>
      <c r="C550" s="6" t="s">
        <v>45</v>
      </c>
      <c r="D550" s="18">
        <f ca="1">RANDBETWEEN(500,1000)</f>
        <v>697</v>
      </c>
      <c r="E550" s="19">
        <v>45550</v>
      </c>
      <c r="F550" s="18">
        <v>59</v>
      </c>
      <c r="G550" s="20">
        <v>0.38</v>
      </c>
      <c r="H550" s="18">
        <f t="shared" ca="1" si="33"/>
        <v>62</v>
      </c>
      <c r="I550" s="18">
        <f t="shared" ca="1" si="34"/>
        <v>127</v>
      </c>
      <c r="J550" s="15">
        <f ca="1">K550-L550</f>
        <v>605</v>
      </c>
      <c r="K550" s="15">
        <v>688</v>
      </c>
      <c r="L550" s="15">
        <f ca="1">RANDBETWEEN(30,87)</f>
        <v>83</v>
      </c>
      <c r="M550" s="11">
        <f ca="1">(L550/J550)</f>
        <v>0.13719008264462809</v>
      </c>
      <c r="N550" s="18">
        <v>63</v>
      </c>
      <c r="O550" s="18" t="str">
        <f t="shared" ca="1" si="35"/>
        <v>Understocked</v>
      </c>
      <c r="P550" s="11" t="str">
        <f ca="1">RANDBETWEEN(30,76)&amp;"%"</f>
        <v>62%</v>
      </c>
      <c r="Q550" s="18">
        <f>PRODUCT(K550,N550)</f>
        <v>43344</v>
      </c>
    </row>
    <row r="551" spans="1:17" x14ac:dyDescent="0.45">
      <c r="A551" s="6" t="s">
        <v>733</v>
      </c>
      <c r="B551" s="9" t="s">
        <v>726</v>
      </c>
      <c r="C551" s="6" t="s">
        <v>45</v>
      </c>
      <c r="D551" s="18">
        <f ca="1">RANDBETWEEN(500,1000)</f>
        <v>639</v>
      </c>
      <c r="E551" s="19">
        <v>45435</v>
      </c>
      <c r="F551" s="18">
        <v>24</v>
      </c>
      <c r="G551" s="20">
        <v>0.57999999999999996</v>
      </c>
      <c r="H551" s="18">
        <f t="shared" ca="1" si="33"/>
        <v>64</v>
      </c>
      <c r="I551" s="18">
        <f t="shared" ca="1" si="34"/>
        <v>137</v>
      </c>
      <c r="J551" s="15">
        <f ca="1">K551-L551</f>
        <v>154</v>
      </c>
      <c r="K551" s="15">
        <v>215</v>
      </c>
      <c r="L551" s="15">
        <f ca="1">RANDBETWEEN(30,87)</f>
        <v>61</v>
      </c>
      <c r="M551" s="11">
        <f ca="1">(L551/J551)</f>
        <v>0.39610389610389612</v>
      </c>
      <c r="N551" s="18">
        <v>24</v>
      </c>
      <c r="O551" s="18" t="str">
        <f t="shared" ca="1" si="35"/>
        <v>Understocked</v>
      </c>
      <c r="P551" s="11" t="str">
        <f ca="1">RANDBETWEEN(30,76)&amp;"%"</f>
        <v>47%</v>
      </c>
      <c r="Q551" s="18">
        <f>PRODUCT(K551,N551)</f>
        <v>5160</v>
      </c>
    </row>
    <row r="552" spans="1:17" x14ac:dyDescent="0.45">
      <c r="A552" s="6" t="s">
        <v>746</v>
      </c>
      <c r="B552" s="9" t="s">
        <v>745</v>
      </c>
      <c r="C552" s="6" t="s">
        <v>45</v>
      </c>
      <c r="D552" s="18">
        <f ca="1">RANDBETWEEN(500,1000)</f>
        <v>656</v>
      </c>
      <c r="E552" s="19">
        <v>45538</v>
      </c>
      <c r="F552" s="18">
        <v>40</v>
      </c>
      <c r="G552" s="20">
        <v>0.78</v>
      </c>
      <c r="H552" s="18">
        <f t="shared" ca="1" si="33"/>
        <v>56</v>
      </c>
      <c r="I552" s="18">
        <f t="shared" ca="1" si="34"/>
        <v>136</v>
      </c>
      <c r="J552" s="15">
        <f ca="1">K552-L552</f>
        <v>331</v>
      </c>
      <c r="K552" s="15">
        <v>387</v>
      </c>
      <c r="L552" s="15">
        <f ca="1">RANDBETWEEN(30,87)</f>
        <v>56</v>
      </c>
      <c r="M552" s="11">
        <f ca="1">(L552/J552)</f>
        <v>0.16918429003021149</v>
      </c>
      <c r="N552" s="18">
        <v>92</v>
      </c>
      <c r="O552" s="18" t="str">
        <f t="shared" ca="1" si="35"/>
        <v>Understocked</v>
      </c>
      <c r="P552" s="11" t="str">
        <f ca="1">RANDBETWEEN(30,76)&amp;"%"</f>
        <v>42%</v>
      </c>
      <c r="Q552" s="18">
        <f>PRODUCT(K552,N552)</f>
        <v>35604</v>
      </c>
    </row>
    <row r="553" spans="1:17" x14ac:dyDescent="0.45">
      <c r="A553" s="6" t="s">
        <v>747</v>
      </c>
      <c r="B553" s="9" t="s">
        <v>745</v>
      </c>
      <c r="C553" s="6" t="s">
        <v>45</v>
      </c>
      <c r="D553" s="18">
        <f ca="1">RANDBETWEEN(500,1000)</f>
        <v>799</v>
      </c>
      <c r="E553" s="19">
        <v>45469</v>
      </c>
      <c r="F553" s="18">
        <v>45</v>
      </c>
      <c r="G553" s="20">
        <v>0.72</v>
      </c>
      <c r="H553" s="18">
        <f t="shared" ca="1" si="33"/>
        <v>77</v>
      </c>
      <c r="I553" s="18">
        <f t="shared" ca="1" si="34"/>
        <v>116</v>
      </c>
      <c r="J553" s="15">
        <f ca="1">K553-L553</f>
        <v>337.5</v>
      </c>
      <c r="K553" s="15">
        <v>408.5</v>
      </c>
      <c r="L553" s="15">
        <f ca="1">RANDBETWEEN(30,87)</f>
        <v>71</v>
      </c>
      <c r="M553" s="11">
        <f ca="1">(L553/J553)</f>
        <v>0.21037037037037037</v>
      </c>
      <c r="N553" s="18">
        <v>84</v>
      </c>
      <c r="O553" s="18" t="str">
        <f t="shared" ca="1" si="35"/>
        <v>Understocked</v>
      </c>
      <c r="P553" s="11" t="str">
        <f ca="1">RANDBETWEEN(30,76)&amp;"%"</f>
        <v>74%</v>
      </c>
      <c r="Q553" s="18">
        <f>PRODUCT(K553,N553)</f>
        <v>34314</v>
      </c>
    </row>
    <row r="554" spans="1:17" x14ac:dyDescent="0.45">
      <c r="A554" s="6" t="s">
        <v>748</v>
      </c>
      <c r="B554" s="9" t="s">
        <v>745</v>
      </c>
      <c r="C554" s="6" t="s">
        <v>45</v>
      </c>
      <c r="D554" s="18">
        <f ca="1">RANDBETWEEN(500,1000)</f>
        <v>766</v>
      </c>
      <c r="E554" s="19">
        <v>45673</v>
      </c>
      <c r="F554" s="18">
        <v>94</v>
      </c>
      <c r="G554" s="20">
        <v>0.62</v>
      </c>
      <c r="H554" s="18">
        <f t="shared" ca="1" si="33"/>
        <v>63</v>
      </c>
      <c r="I554" s="18">
        <f t="shared" ca="1" si="34"/>
        <v>168</v>
      </c>
      <c r="J554" s="15">
        <f ca="1">K554-L554</f>
        <v>358.5</v>
      </c>
      <c r="K554" s="15">
        <v>408.5</v>
      </c>
      <c r="L554" s="15">
        <f ca="1">RANDBETWEEN(30,87)</f>
        <v>50</v>
      </c>
      <c r="M554" s="11">
        <f ca="1">(L554/J554)</f>
        <v>0.1394700139470014</v>
      </c>
      <c r="N554" s="18">
        <v>24</v>
      </c>
      <c r="O554" s="18" t="str">
        <f t="shared" ca="1" si="35"/>
        <v>Optimal</v>
      </c>
      <c r="P554" s="11" t="str">
        <f ca="1">RANDBETWEEN(30,76)&amp;"%"</f>
        <v>70%</v>
      </c>
      <c r="Q554" s="18">
        <f>PRODUCT(K554,N554)</f>
        <v>9804</v>
      </c>
    </row>
    <row r="555" spans="1:17" x14ac:dyDescent="0.45">
      <c r="A555" s="6" t="s">
        <v>749</v>
      </c>
      <c r="B555" s="9" t="s">
        <v>745</v>
      </c>
      <c r="C555" s="6" t="s">
        <v>45</v>
      </c>
      <c r="D555" s="18">
        <f ca="1">RANDBETWEEN(500,1000)</f>
        <v>753</v>
      </c>
      <c r="E555" s="19">
        <v>45709</v>
      </c>
      <c r="F555" s="18">
        <v>15</v>
      </c>
      <c r="G555" s="20">
        <v>0.52</v>
      </c>
      <c r="H555" s="18">
        <f t="shared" ca="1" si="33"/>
        <v>52</v>
      </c>
      <c r="I555" s="18">
        <f t="shared" ca="1" si="34"/>
        <v>104</v>
      </c>
      <c r="J555" s="15">
        <f ca="1">K555-L555</f>
        <v>172</v>
      </c>
      <c r="K555" s="15">
        <v>258</v>
      </c>
      <c r="L555" s="15">
        <f ca="1">RANDBETWEEN(30,87)</f>
        <v>86</v>
      </c>
      <c r="M555" s="11">
        <f ca="1">(L555/J555)</f>
        <v>0.5</v>
      </c>
      <c r="N555" s="18">
        <v>37</v>
      </c>
      <c r="O555" s="18" t="str">
        <f t="shared" ca="1" si="35"/>
        <v>Understocked</v>
      </c>
      <c r="P555" s="11" t="str">
        <f ca="1">RANDBETWEEN(30,76)&amp;"%"</f>
        <v>68%</v>
      </c>
      <c r="Q555" s="18">
        <f>PRODUCT(K555,N555)</f>
        <v>9546</v>
      </c>
    </row>
    <row r="556" spans="1:17" x14ac:dyDescent="0.45">
      <c r="A556" s="6" t="s">
        <v>750</v>
      </c>
      <c r="B556" s="9" t="s">
        <v>745</v>
      </c>
      <c r="C556" s="6" t="s">
        <v>45</v>
      </c>
      <c r="D556" s="18">
        <f ca="1">RANDBETWEEN(500,1000)</f>
        <v>612</v>
      </c>
      <c r="E556" s="19">
        <v>45357</v>
      </c>
      <c r="F556" s="18">
        <v>40</v>
      </c>
      <c r="G556" s="20">
        <v>0.37</v>
      </c>
      <c r="H556" s="18">
        <f t="shared" ca="1" si="33"/>
        <v>71</v>
      </c>
      <c r="I556" s="18">
        <f t="shared" ca="1" si="34"/>
        <v>165</v>
      </c>
      <c r="J556" s="15">
        <f ca="1">K556-L556</f>
        <v>130.79999999999998</v>
      </c>
      <c r="K556" s="15">
        <v>197.79999999999998</v>
      </c>
      <c r="L556" s="15">
        <f ca="1">RANDBETWEEN(30,87)</f>
        <v>67</v>
      </c>
      <c r="M556" s="11">
        <f ca="1">(L556/J556)</f>
        <v>0.51223241590214075</v>
      </c>
      <c r="N556" s="18">
        <v>70</v>
      </c>
      <c r="O556" s="18" t="str">
        <f t="shared" ca="1" si="35"/>
        <v>Understocked</v>
      </c>
      <c r="P556" s="11" t="str">
        <f ca="1">RANDBETWEEN(30,76)&amp;"%"</f>
        <v>73%</v>
      </c>
      <c r="Q556" s="18">
        <f>PRODUCT(K556,N556)</f>
        <v>13845.999999999998</v>
      </c>
    </row>
    <row r="557" spans="1:17" x14ac:dyDescent="0.45">
      <c r="A557" s="6" t="s">
        <v>751</v>
      </c>
      <c r="B557" s="9" t="s">
        <v>745</v>
      </c>
      <c r="C557" s="6" t="s">
        <v>45</v>
      </c>
      <c r="D557" s="18">
        <f ca="1">RANDBETWEEN(500,1000)</f>
        <v>595</v>
      </c>
      <c r="E557" s="19">
        <v>45519</v>
      </c>
      <c r="F557" s="18">
        <v>73</v>
      </c>
      <c r="G557" s="20">
        <v>0.8</v>
      </c>
      <c r="H557" s="18">
        <f t="shared" ca="1" si="33"/>
        <v>71</v>
      </c>
      <c r="I557" s="18">
        <f t="shared" ca="1" si="34"/>
        <v>153</v>
      </c>
      <c r="J557" s="15">
        <f ca="1">K557-L557</f>
        <v>220.7</v>
      </c>
      <c r="K557" s="15">
        <v>296.7</v>
      </c>
      <c r="L557" s="15">
        <f ca="1">RANDBETWEEN(30,87)</f>
        <v>76</v>
      </c>
      <c r="M557" s="11">
        <f ca="1">(L557/J557)</f>
        <v>0.34435885817852291</v>
      </c>
      <c r="N557" s="18">
        <v>75</v>
      </c>
      <c r="O557" s="18" t="str">
        <f t="shared" ca="1" si="35"/>
        <v>Optimal</v>
      </c>
      <c r="P557" s="11" t="str">
        <f ca="1">RANDBETWEEN(30,76)&amp;"%"</f>
        <v>51%</v>
      </c>
      <c r="Q557" s="18">
        <f>PRODUCT(K557,N557)</f>
        <v>22252.5</v>
      </c>
    </row>
    <row r="558" spans="1:17" x14ac:dyDescent="0.45">
      <c r="A558" s="6" t="s">
        <v>752</v>
      </c>
      <c r="B558" s="9" t="s">
        <v>745</v>
      </c>
      <c r="C558" s="6" t="s">
        <v>45</v>
      </c>
      <c r="D558" s="18">
        <f ca="1">RANDBETWEEN(500,1000)</f>
        <v>761</v>
      </c>
      <c r="E558" s="19">
        <v>45381</v>
      </c>
      <c r="F558" s="18">
        <v>47</v>
      </c>
      <c r="G558" s="20">
        <v>0.64</v>
      </c>
      <c r="H558" s="18">
        <f t="shared" ca="1" si="33"/>
        <v>66</v>
      </c>
      <c r="I558" s="18">
        <f t="shared" ca="1" si="34"/>
        <v>76</v>
      </c>
      <c r="J558" s="15">
        <f ca="1">K558-L558</f>
        <v>145</v>
      </c>
      <c r="K558" s="15">
        <v>215</v>
      </c>
      <c r="L558" s="15">
        <f ca="1">RANDBETWEEN(30,87)</f>
        <v>70</v>
      </c>
      <c r="M558" s="11">
        <f ca="1">(L558/J558)</f>
        <v>0.48275862068965519</v>
      </c>
      <c r="N558" s="18">
        <v>93</v>
      </c>
      <c r="O558" s="18" t="str">
        <f t="shared" ca="1" si="35"/>
        <v>Understocked</v>
      </c>
      <c r="P558" s="11" t="str">
        <f ca="1">RANDBETWEEN(30,76)&amp;"%"</f>
        <v>74%</v>
      </c>
      <c r="Q558" s="18">
        <f>PRODUCT(K558,N558)</f>
        <v>19995</v>
      </c>
    </row>
    <row r="559" spans="1:17" x14ac:dyDescent="0.45">
      <c r="A559" s="6" t="s">
        <v>753</v>
      </c>
      <c r="B559" s="9" t="s">
        <v>745</v>
      </c>
      <c r="C559" s="6" t="s">
        <v>45</v>
      </c>
      <c r="D559" s="18">
        <f ca="1">RANDBETWEEN(500,1000)</f>
        <v>548</v>
      </c>
      <c r="E559" s="19">
        <v>45537</v>
      </c>
      <c r="F559" s="18">
        <v>37</v>
      </c>
      <c r="G559" s="20">
        <v>0.65</v>
      </c>
      <c r="H559" s="18">
        <f t="shared" ca="1" si="33"/>
        <v>68</v>
      </c>
      <c r="I559" s="18">
        <f t="shared" ca="1" si="34"/>
        <v>124</v>
      </c>
      <c r="J559" s="15">
        <f ca="1">K559-L559</f>
        <v>322.2</v>
      </c>
      <c r="K559" s="15">
        <v>404.2</v>
      </c>
      <c r="L559" s="15">
        <f ca="1">RANDBETWEEN(30,87)</f>
        <v>82</v>
      </c>
      <c r="M559" s="11">
        <f ca="1">(L559/J559)</f>
        <v>0.25450031036623216</v>
      </c>
      <c r="N559" s="18">
        <v>93</v>
      </c>
      <c r="O559" s="18" t="str">
        <f t="shared" ca="1" si="35"/>
        <v>Understocked</v>
      </c>
      <c r="P559" s="11" t="str">
        <f ca="1">RANDBETWEEN(30,76)&amp;"%"</f>
        <v>58%</v>
      </c>
      <c r="Q559" s="18">
        <f>PRODUCT(K559,N559)</f>
        <v>37590.6</v>
      </c>
    </row>
    <row r="560" spans="1:17" x14ac:dyDescent="0.45">
      <c r="A560" s="6" t="s">
        <v>764</v>
      </c>
      <c r="B560" s="9" t="s">
        <v>765</v>
      </c>
      <c r="C560" s="6" t="s">
        <v>45</v>
      </c>
      <c r="D560" s="18">
        <f ca="1">RANDBETWEEN(500,1000)</f>
        <v>673</v>
      </c>
      <c r="E560" s="19">
        <v>45353</v>
      </c>
      <c r="F560" s="18">
        <v>79</v>
      </c>
      <c r="G560" s="20">
        <v>0.36</v>
      </c>
      <c r="H560" s="18">
        <f t="shared" ca="1" si="33"/>
        <v>51</v>
      </c>
      <c r="I560" s="18">
        <f t="shared" ca="1" si="34"/>
        <v>125</v>
      </c>
      <c r="J560" s="15">
        <f ca="1">K560-L560</f>
        <v>184</v>
      </c>
      <c r="K560" s="15">
        <v>215</v>
      </c>
      <c r="L560" s="15">
        <f ca="1">RANDBETWEEN(30,87)</f>
        <v>31</v>
      </c>
      <c r="M560" s="11">
        <f ca="1">(L560/J560)</f>
        <v>0.16847826086956522</v>
      </c>
      <c r="N560" s="18">
        <v>33</v>
      </c>
      <c r="O560" s="18" t="str">
        <f t="shared" ca="1" si="35"/>
        <v>Optimal</v>
      </c>
      <c r="P560" s="11" t="str">
        <f ca="1">RANDBETWEEN(30,76)&amp;"%"</f>
        <v>51%</v>
      </c>
      <c r="Q560" s="18">
        <f>PRODUCT(K560,N560)</f>
        <v>7095</v>
      </c>
    </row>
    <row r="561" spans="1:17" x14ac:dyDescent="0.45">
      <c r="A561" s="6" t="s">
        <v>766</v>
      </c>
      <c r="B561" s="9" t="s">
        <v>765</v>
      </c>
      <c r="C561" s="6" t="s">
        <v>45</v>
      </c>
      <c r="D561" s="18">
        <f ca="1">RANDBETWEEN(500,1000)</f>
        <v>618</v>
      </c>
      <c r="E561" s="19">
        <v>45406</v>
      </c>
      <c r="F561" s="18">
        <v>41</v>
      </c>
      <c r="G561" s="20">
        <v>0.35</v>
      </c>
      <c r="H561" s="18">
        <f t="shared" ca="1" si="33"/>
        <v>79</v>
      </c>
      <c r="I561" s="18">
        <f t="shared" ca="1" si="34"/>
        <v>102</v>
      </c>
      <c r="J561" s="15">
        <f ca="1">K561-L561</f>
        <v>300</v>
      </c>
      <c r="K561" s="15">
        <v>344</v>
      </c>
      <c r="L561" s="15">
        <f ca="1">RANDBETWEEN(30,87)</f>
        <v>44</v>
      </c>
      <c r="M561" s="11">
        <f ca="1">(L561/J561)</f>
        <v>0.14666666666666667</v>
      </c>
      <c r="N561" s="18">
        <v>57</v>
      </c>
      <c r="O561" s="18" t="str">
        <f t="shared" ca="1" si="35"/>
        <v>Understocked</v>
      </c>
      <c r="P561" s="11" t="str">
        <f ca="1">RANDBETWEEN(30,76)&amp;"%"</f>
        <v>61%</v>
      </c>
      <c r="Q561" s="18">
        <f>PRODUCT(K561,N561)</f>
        <v>19608</v>
      </c>
    </row>
    <row r="562" spans="1:17" x14ac:dyDescent="0.45">
      <c r="A562" s="6" t="s">
        <v>767</v>
      </c>
      <c r="B562" s="9" t="s">
        <v>765</v>
      </c>
      <c r="C562" s="6" t="s">
        <v>45</v>
      </c>
      <c r="D562" s="18">
        <f ca="1">RANDBETWEEN(500,1000)</f>
        <v>690</v>
      </c>
      <c r="E562" s="19">
        <v>45348</v>
      </c>
      <c r="F562" s="18">
        <v>61</v>
      </c>
      <c r="G562" s="20">
        <v>0.79</v>
      </c>
      <c r="H562" s="18">
        <f t="shared" ca="1" si="33"/>
        <v>77</v>
      </c>
      <c r="I562" s="18">
        <f t="shared" ca="1" si="34"/>
        <v>153</v>
      </c>
      <c r="J562" s="15">
        <f ca="1">K562-L562</f>
        <v>135.70000000000002</v>
      </c>
      <c r="K562" s="15">
        <v>210.70000000000002</v>
      </c>
      <c r="L562" s="15">
        <f ca="1">RANDBETWEEN(30,87)</f>
        <v>75</v>
      </c>
      <c r="M562" s="11">
        <f ca="1">(L562/J562)</f>
        <v>0.55268975681650689</v>
      </c>
      <c r="N562" s="18">
        <v>24</v>
      </c>
      <c r="O562" s="18" t="str">
        <f t="shared" ca="1" si="35"/>
        <v>Understocked</v>
      </c>
      <c r="P562" s="11" t="str">
        <f ca="1">RANDBETWEEN(30,76)&amp;"%"</f>
        <v>36%</v>
      </c>
      <c r="Q562" s="18">
        <f>PRODUCT(K562,N562)</f>
        <v>5056.8</v>
      </c>
    </row>
    <row r="563" spans="1:17" x14ac:dyDescent="0.45">
      <c r="A563" s="6" t="s">
        <v>768</v>
      </c>
      <c r="B563" s="9" t="s">
        <v>765</v>
      </c>
      <c r="C563" s="6" t="s">
        <v>45</v>
      </c>
      <c r="D563" s="18">
        <f ca="1">RANDBETWEEN(500,1000)</f>
        <v>825</v>
      </c>
      <c r="E563" s="19">
        <v>45608</v>
      </c>
      <c r="F563" s="18">
        <v>82</v>
      </c>
      <c r="G563" s="20">
        <v>0.38</v>
      </c>
      <c r="H563" s="18">
        <f t="shared" ca="1" si="33"/>
        <v>77</v>
      </c>
      <c r="I563" s="18">
        <f t="shared" ca="1" si="34"/>
        <v>148</v>
      </c>
      <c r="J563" s="15">
        <f ca="1">K563-L563</f>
        <v>808</v>
      </c>
      <c r="K563" s="15">
        <v>860</v>
      </c>
      <c r="L563" s="15">
        <f ca="1">RANDBETWEEN(30,87)</f>
        <v>52</v>
      </c>
      <c r="M563" s="11">
        <f ca="1">(L563/J563)</f>
        <v>6.4356435643564358E-2</v>
      </c>
      <c r="N563" s="18">
        <v>30</v>
      </c>
      <c r="O563" s="18" t="str">
        <f t="shared" ca="1" si="35"/>
        <v>Optimal</v>
      </c>
      <c r="P563" s="11" t="str">
        <f ca="1">RANDBETWEEN(30,76)&amp;"%"</f>
        <v>32%</v>
      </c>
      <c r="Q563" s="18">
        <f>PRODUCT(K563,N563)</f>
        <v>25800</v>
      </c>
    </row>
    <row r="564" spans="1:17" x14ac:dyDescent="0.45">
      <c r="A564" s="6" t="s">
        <v>769</v>
      </c>
      <c r="B564" s="9" t="s">
        <v>765</v>
      </c>
      <c r="C564" s="6" t="s">
        <v>45</v>
      </c>
      <c r="D564" s="18">
        <f ca="1">RANDBETWEEN(500,1000)</f>
        <v>588</v>
      </c>
      <c r="E564" s="19">
        <v>45708</v>
      </c>
      <c r="F564" s="18">
        <v>29</v>
      </c>
      <c r="G564" s="20">
        <v>0.35</v>
      </c>
      <c r="H564" s="18">
        <f t="shared" ca="1" si="33"/>
        <v>61</v>
      </c>
      <c r="I564" s="18">
        <f t="shared" ca="1" si="34"/>
        <v>136</v>
      </c>
      <c r="J564" s="15">
        <f ca="1">K564-L564</f>
        <v>187</v>
      </c>
      <c r="K564" s="15">
        <v>258</v>
      </c>
      <c r="L564" s="15">
        <f ca="1">RANDBETWEEN(30,87)</f>
        <v>71</v>
      </c>
      <c r="M564" s="11">
        <f ca="1">(L564/J564)</f>
        <v>0.37967914438502676</v>
      </c>
      <c r="N564" s="18">
        <v>31</v>
      </c>
      <c r="O564" s="18" t="str">
        <f t="shared" ca="1" si="35"/>
        <v>Understocked</v>
      </c>
      <c r="P564" s="11" t="str">
        <f ca="1">RANDBETWEEN(30,76)&amp;"%"</f>
        <v>53%</v>
      </c>
      <c r="Q564" s="18">
        <f>PRODUCT(K564,N564)</f>
        <v>7998</v>
      </c>
    </row>
    <row r="565" spans="1:17" x14ac:dyDescent="0.45">
      <c r="A565" s="6" t="s">
        <v>770</v>
      </c>
      <c r="B565" s="9" t="s">
        <v>765</v>
      </c>
      <c r="C565" s="6" t="s">
        <v>45</v>
      </c>
      <c r="D565" s="18">
        <f ca="1">RANDBETWEEN(500,1000)</f>
        <v>987</v>
      </c>
      <c r="E565" s="19">
        <v>45582</v>
      </c>
      <c r="F565" s="18">
        <v>84</v>
      </c>
      <c r="G565" s="20">
        <v>0.71</v>
      </c>
      <c r="H565" s="18">
        <f t="shared" ca="1" si="33"/>
        <v>57</v>
      </c>
      <c r="I565" s="18">
        <f t="shared" ca="1" si="34"/>
        <v>139</v>
      </c>
      <c r="J565" s="15">
        <f ca="1">K565-L565</f>
        <v>72</v>
      </c>
      <c r="K565" s="15">
        <v>129</v>
      </c>
      <c r="L565" s="15">
        <f ca="1">RANDBETWEEN(30,87)</f>
        <v>57</v>
      </c>
      <c r="M565" s="11">
        <f ca="1">(L565/J565)</f>
        <v>0.79166666666666663</v>
      </c>
      <c r="N565" s="18">
        <v>64</v>
      </c>
      <c r="O565" s="18" t="str">
        <f t="shared" ca="1" si="35"/>
        <v>Optimal</v>
      </c>
      <c r="P565" s="11" t="str">
        <f ca="1">RANDBETWEEN(30,76)&amp;"%"</f>
        <v>30%</v>
      </c>
      <c r="Q565" s="18">
        <f>PRODUCT(K565,N565)</f>
        <v>8256</v>
      </c>
    </row>
    <row r="566" spans="1:17" x14ac:dyDescent="0.45">
      <c r="A566" s="6" t="s">
        <v>771</v>
      </c>
      <c r="B566" s="9" t="s">
        <v>765</v>
      </c>
      <c r="C566" s="6" t="s">
        <v>45</v>
      </c>
      <c r="D566" s="18">
        <f ca="1">RANDBETWEEN(500,1000)</f>
        <v>705</v>
      </c>
      <c r="E566" s="19">
        <v>45399</v>
      </c>
      <c r="F566" s="18">
        <v>58</v>
      </c>
      <c r="G566" s="20">
        <v>0.8</v>
      </c>
      <c r="H566" s="18">
        <f t="shared" ca="1" si="33"/>
        <v>78</v>
      </c>
      <c r="I566" s="18">
        <f t="shared" ca="1" si="34"/>
        <v>93</v>
      </c>
      <c r="J566" s="15">
        <f ca="1">K566-L566</f>
        <v>732</v>
      </c>
      <c r="K566" s="15">
        <v>817</v>
      </c>
      <c r="L566" s="15">
        <f ca="1">RANDBETWEEN(30,87)</f>
        <v>85</v>
      </c>
      <c r="M566" s="11">
        <f ca="1">(L566/J566)</f>
        <v>0.11612021857923498</v>
      </c>
      <c r="N566" s="18">
        <v>62</v>
      </c>
      <c r="O566" s="18" t="str">
        <f t="shared" ca="1" si="35"/>
        <v>Understocked</v>
      </c>
      <c r="P566" s="11" t="str">
        <f ca="1">RANDBETWEEN(30,76)&amp;"%"</f>
        <v>53%</v>
      </c>
      <c r="Q566" s="18">
        <f>PRODUCT(K566,N566)</f>
        <v>50654</v>
      </c>
    </row>
    <row r="567" spans="1:17" x14ac:dyDescent="0.45">
      <c r="A567" s="6" t="s">
        <v>772</v>
      </c>
      <c r="B567" s="9" t="s">
        <v>765</v>
      </c>
      <c r="C567" s="6" t="s">
        <v>45</v>
      </c>
      <c r="D567" s="18">
        <f ca="1">RANDBETWEEN(500,1000)</f>
        <v>626</v>
      </c>
      <c r="E567" s="19">
        <v>45663</v>
      </c>
      <c r="F567" s="18">
        <v>26</v>
      </c>
      <c r="G567" s="20">
        <v>0.51</v>
      </c>
      <c r="H567" s="18">
        <f t="shared" ca="1" si="33"/>
        <v>69</v>
      </c>
      <c r="I567" s="18">
        <f t="shared" ca="1" si="34"/>
        <v>181</v>
      </c>
      <c r="J567" s="15">
        <f ca="1">K567-L567</f>
        <v>245</v>
      </c>
      <c r="K567" s="15">
        <v>301</v>
      </c>
      <c r="L567" s="15">
        <f ca="1">RANDBETWEEN(30,87)</f>
        <v>56</v>
      </c>
      <c r="M567" s="11">
        <f ca="1">(L567/J567)</f>
        <v>0.22857142857142856</v>
      </c>
      <c r="N567" s="18">
        <v>92</v>
      </c>
      <c r="O567" s="18" t="str">
        <f t="shared" ca="1" si="35"/>
        <v>Understocked</v>
      </c>
      <c r="P567" s="11" t="str">
        <f ca="1">RANDBETWEEN(30,76)&amp;"%"</f>
        <v>57%</v>
      </c>
      <c r="Q567" s="18">
        <f>PRODUCT(K567,N567)</f>
        <v>27692</v>
      </c>
    </row>
    <row r="568" spans="1:17" x14ac:dyDescent="0.45">
      <c r="A568" s="6" t="s">
        <v>773</v>
      </c>
      <c r="B568" s="9" t="s">
        <v>765</v>
      </c>
      <c r="C568" s="6" t="s">
        <v>45</v>
      </c>
      <c r="D568" s="18">
        <f ca="1">RANDBETWEEN(500,1000)</f>
        <v>707</v>
      </c>
      <c r="E568" s="19">
        <v>45615</v>
      </c>
      <c r="F568" s="18">
        <v>77</v>
      </c>
      <c r="G568" s="20">
        <v>0.68</v>
      </c>
      <c r="H568" s="18">
        <f t="shared" ca="1" si="33"/>
        <v>64</v>
      </c>
      <c r="I568" s="18">
        <f t="shared" ca="1" si="34"/>
        <v>174</v>
      </c>
      <c r="J568" s="15">
        <f ca="1">K568-L568</f>
        <v>477.6</v>
      </c>
      <c r="K568" s="15">
        <v>524.6</v>
      </c>
      <c r="L568" s="15">
        <f ca="1">RANDBETWEEN(30,87)</f>
        <v>47</v>
      </c>
      <c r="M568" s="11">
        <f ca="1">(L568/J568)</f>
        <v>9.8408710217755435E-2</v>
      </c>
      <c r="N568" s="18">
        <v>61</v>
      </c>
      <c r="O568" s="18" t="str">
        <f t="shared" ca="1" si="35"/>
        <v>Optimal</v>
      </c>
      <c r="P568" s="11" t="str">
        <f ca="1">RANDBETWEEN(30,76)&amp;"%"</f>
        <v>50%</v>
      </c>
      <c r="Q568" s="18">
        <f>PRODUCT(K568,N568)</f>
        <v>32000.600000000002</v>
      </c>
    </row>
    <row r="569" spans="1:17" x14ac:dyDescent="0.45">
      <c r="A569" s="6" t="s">
        <v>774</v>
      </c>
      <c r="B569" s="9" t="s">
        <v>775</v>
      </c>
      <c r="C569" s="6" t="s">
        <v>45</v>
      </c>
      <c r="D569" s="18">
        <f ca="1">RANDBETWEEN(500,1000)</f>
        <v>617</v>
      </c>
      <c r="E569" s="19">
        <v>45625</v>
      </c>
      <c r="F569" s="18">
        <v>100</v>
      </c>
      <c r="G569" s="20">
        <v>0.64</v>
      </c>
      <c r="H569" s="18">
        <f t="shared" ca="1" si="33"/>
        <v>77</v>
      </c>
      <c r="I569" s="18">
        <f t="shared" ca="1" si="34"/>
        <v>117</v>
      </c>
      <c r="J569" s="15">
        <f ca="1">K569-L569</f>
        <v>195.5</v>
      </c>
      <c r="K569" s="15">
        <v>236.5</v>
      </c>
      <c r="L569" s="15">
        <f ca="1">RANDBETWEEN(30,87)</f>
        <v>41</v>
      </c>
      <c r="M569" s="11">
        <f ca="1">(L569/J569)</f>
        <v>0.20971867007672634</v>
      </c>
      <c r="N569" s="18">
        <v>86</v>
      </c>
      <c r="O569" s="18" t="str">
        <f t="shared" ca="1" si="35"/>
        <v>Optimal</v>
      </c>
      <c r="P569" s="11" t="str">
        <f ca="1">RANDBETWEEN(30,76)&amp;"%"</f>
        <v>46%</v>
      </c>
      <c r="Q569" s="18">
        <f>PRODUCT(K569,N569)</f>
        <v>20339</v>
      </c>
    </row>
    <row r="570" spans="1:17" x14ac:dyDescent="0.45">
      <c r="A570" s="6" t="s">
        <v>776</v>
      </c>
      <c r="B570" s="9" t="s">
        <v>775</v>
      </c>
      <c r="C570" s="6" t="s">
        <v>45</v>
      </c>
      <c r="D570" s="18">
        <f ca="1">RANDBETWEEN(500,1000)</f>
        <v>822</v>
      </c>
      <c r="E570" s="19">
        <v>45382</v>
      </c>
      <c r="F570" s="18">
        <v>49</v>
      </c>
      <c r="G570" s="20">
        <v>0.76</v>
      </c>
      <c r="H570" s="18">
        <f t="shared" ca="1" si="33"/>
        <v>75</v>
      </c>
      <c r="I570" s="18">
        <f t="shared" ca="1" si="34"/>
        <v>156</v>
      </c>
      <c r="J570" s="15">
        <f ca="1">K570-L570</f>
        <v>1243</v>
      </c>
      <c r="K570" s="15">
        <v>1290</v>
      </c>
      <c r="L570" s="15">
        <f ca="1">RANDBETWEEN(30,87)</f>
        <v>47</v>
      </c>
      <c r="M570" s="11">
        <f ca="1">(L570/J570)</f>
        <v>3.781174577634755E-2</v>
      </c>
      <c r="N570" s="18">
        <v>82</v>
      </c>
      <c r="O570" s="18" t="str">
        <f t="shared" ca="1" si="35"/>
        <v>Understocked</v>
      </c>
      <c r="P570" s="11" t="str">
        <f ca="1">RANDBETWEEN(30,76)&amp;"%"</f>
        <v>52%</v>
      </c>
      <c r="Q570" s="18">
        <f>PRODUCT(K570,N570)</f>
        <v>105780</v>
      </c>
    </row>
    <row r="571" spans="1:17" x14ac:dyDescent="0.45">
      <c r="A571" s="6" t="s">
        <v>777</v>
      </c>
      <c r="B571" s="9" t="s">
        <v>775</v>
      </c>
      <c r="C571" s="6" t="s">
        <v>45</v>
      </c>
      <c r="D571" s="18">
        <f ca="1">RANDBETWEEN(500,1000)</f>
        <v>567</v>
      </c>
      <c r="E571" s="19">
        <v>45405</v>
      </c>
      <c r="F571" s="18">
        <v>75</v>
      </c>
      <c r="G571" s="20">
        <v>0.3</v>
      </c>
      <c r="H571" s="18">
        <f t="shared" ca="1" si="33"/>
        <v>52</v>
      </c>
      <c r="I571" s="18">
        <f t="shared" ca="1" si="34"/>
        <v>73</v>
      </c>
      <c r="J571" s="15">
        <f ca="1">K571-L571</f>
        <v>103.80000000000001</v>
      </c>
      <c r="K571" s="15">
        <v>154.80000000000001</v>
      </c>
      <c r="L571" s="15">
        <f ca="1">RANDBETWEEN(30,87)</f>
        <v>51</v>
      </c>
      <c r="M571" s="11">
        <f ca="1">(L571/J571)</f>
        <v>0.49132947976878605</v>
      </c>
      <c r="N571" s="18">
        <v>96</v>
      </c>
      <c r="O571" s="18" t="str">
        <f t="shared" ca="1" si="35"/>
        <v>Optimal</v>
      </c>
      <c r="P571" s="11" t="str">
        <f ca="1">RANDBETWEEN(30,76)&amp;"%"</f>
        <v>66%</v>
      </c>
      <c r="Q571" s="18">
        <f>PRODUCT(K571,N571)</f>
        <v>14860.800000000001</v>
      </c>
    </row>
    <row r="572" spans="1:17" x14ac:dyDescent="0.45">
      <c r="A572" s="6" t="s">
        <v>778</v>
      </c>
      <c r="B572" s="9" t="s">
        <v>775</v>
      </c>
      <c r="C572" s="6" t="s">
        <v>45</v>
      </c>
      <c r="D572" s="18">
        <f ca="1">RANDBETWEEN(500,1000)</f>
        <v>753</v>
      </c>
      <c r="E572" s="19">
        <v>45684</v>
      </c>
      <c r="F572" s="18">
        <v>99</v>
      </c>
      <c r="G572" s="20">
        <v>0.46</v>
      </c>
      <c r="H572" s="18">
        <f t="shared" ca="1" si="33"/>
        <v>72</v>
      </c>
      <c r="I572" s="18">
        <f t="shared" ca="1" si="34"/>
        <v>172</v>
      </c>
      <c r="J572" s="15">
        <f ca="1">K572-L572</f>
        <v>203</v>
      </c>
      <c r="K572" s="15">
        <v>258</v>
      </c>
      <c r="L572" s="15">
        <f ca="1">RANDBETWEEN(30,87)</f>
        <v>55</v>
      </c>
      <c r="M572" s="11">
        <f ca="1">(L572/J572)</f>
        <v>0.27093596059113301</v>
      </c>
      <c r="N572" s="18">
        <v>50</v>
      </c>
      <c r="O572" s="18" t="str">
        <f t="shared" ca="1" si="35"/>
        <v>Optimal</v>
      </c>
      <c r="P572" s="11" t="str">
        <f ca="1">RANDBETWEEN(30,76)&amp;"%"</f>
        <v>76%</v>
      </c>
      <c r="Q572" s="18">
        <f>PRODUCT(K572,N572)</f>
        <v>12900</v>
      </c>
    </row>
    <row r="573" spans="1:17" x14ac:dyDescent="0.45">
      <c r="A573" t="s">
        <v>671</v>
      </c>
      <c r="B573" t="s">
        <v>669</v>
      </c>
      <c r="C573" t="s">
        <v>45</v>
      </c>
      <c r="D573" s="18">
        <f ca="1">RANDBETWEEN(500,1000)</f>
        <v>742</v>
      </c>
      <c r="E573" s="1">
        <v>45646</v>
      </c>
      <c r="F573">
        <v>34</v>
      </c>
      <c r="G573" s="2">
        <v>0.66</v>
      </c>
      <c r="H573" s="18">
        <f t="shared" ca="1" si="33"/>
        <v>58</v>
      </c>
      <c r="I573" s="18">
        <f t="shared" ca="1" si="34"/>
        <v>94</v>
      </c>
      <c r="J573" s="4">
        <f ca="1">K573-L573</f>
        <v>2105.8000000000002</v>
      </c>
      <c r="K573" s="4">
        <v>2175.8000000000002</v>
      </c>
      <c r="L573" s="4">
        <f ca="1">RANDBETWEEN(30,87)</f>
        <v>70</v>
      </c>
      <c r="M573" s="3">
        <f ca="1">(L573/J573)</f>
        <v>3.3241523411530055E-2</v>
      </c>
      <c r="N573">
        <v>58</v>
      </c>
      <c r="O573" s="18" t="str">
        <f t="shared" ca="1" si="35"/>
        <v>Understocked</v>
      </c>
      <c r="P573">
        <v>37</v>
      </c>
    </row>
    <row r="574" spans="1:17" x14ac:dyDescent="0.45">
      <c r="A574" t="s">
        <v>672</v>
      </c>
      <c r="B574" t="s">
        <v>669</v>
      </c>
      <c r="C574" t="s">
        <v>45</v>
      </c>
      <c r="D574" s="18">
        <f ca="1">RANDBETWEEN(500,1000)</f>
        <v>893</v>
      </c>
      <c r="E574" s="1">
        <v>45626</v>
      </c>
      <c r="F574">
        <v>35</v>
      </c>
      <c r="G574" s="2">
        <v>0.41</v>
      </c>
      <c r="H574" s="18">
        <f t="shared" ca="1" si="33"/>
        <v>73</v>
      </c>
      <c r="I574" s="18">
        <f t="shared" ca="1" si="34"/>
        <v>89</v>
      </c>
      <c r="J574" s="4">
        <f ca="1">K574-L574</f>
        <v>1471</v>
      </c>
      <c r="K574" s="4">
        <v>1548</v>
      </c>
      <c r="L574" s="4">
        <f ca="1">RANDBETWEEN(30,87)</f>
        <v>77</v>
      </c>
      <c r="M574" s="3">
        <f ca="1">(L574/J574)</f>
        <v>5.2345343303874914E-2</v>
      </c>
      <c r="N574">
        <v>88</v>
      </c>
      <c r="O574" s="18" t="str">
        <f t="shared" ca="1" si="35"/>
        <v>Understocked</v>
      </c>
      <c r="P574">
        <v>32</v>
      </c>
    </row>
    <row r="575" spans="1:17" x14ac:dyDescent="0.45">
      <c r="A575" s="6" t="s">
        <v>779</v>
      </c>
      <c r="B575" s="9" t="s">
        <v>775</v>
      </c>
      <c r="C575" s="6" t="s">
        <v>45</v>
      </c>
      <c r="D575" s="18">
        <f ca="1">RANDBETWEEN(500,1000)</f>
        <v>993</v>
      </c>
      <c r="E575" s="19">
        <v>45662</v>
      </c>
      <c r="F575" s="18">
        <v>12</v>
      </c>
      <c r="G575" s="20">
        <v>0.88</v>
      </c>
      <c r="H575" s="18">
        <f t="shared" ca="1" si="33"/>
        <v>64</v>
      </c>
      <c r="I575" s="18">
        <f t="shared" ca="1" si="34"/>
        <v>121</v>
      </c>
      <c r="J575" s="15">
        <f ca="1">K575-L575</f>
        <v>307</v>
      </c>
      <c r="K575" s="15">
        <v>387</v>
      </c>
      <c r="L575" s="15">
        <f ca="1">RANDBETWEEN(30,87)</f>
        <v>80</v>
      </c>
      <c r="M575" s="11">
        <f ca="1">(L575/J575)</f>
        <v>0.26058631921824105</v>
      </c>
      <c r="N575" s="18">
        <v>46</v>
      </c>
      <c r="O575" s="18" t="str">
        <f t="shared" ca="1" si="35"/>
        <v>Understocked</v>
      </c>
      <c r="P575" s="11" t="str">
        <f ca="1">RANDBETWEEN(30,76)&amp;"%"</f>
        <v>66%</v>
      </c>
      <c r="Q575" s="18">
        <f>PRODUCT(K575,N575)</f>
        <v>17802</v>
      </c>
    </row>
    <row r="576" spans="1:17" x14ac:dyDescent="0.45">
      <c r="A576" s="6" t="s">
        <v>780</v>
      </c>
      <c r="B576" s="9" t="s">
        <v>775</v>
      </c>
      <c r="C576" s="6" t="s">
        <v>45</v>
      </c>
      <c r="D576" s="18">
        <f ca="1">RANDBETWEEN(500,1000)</f>
        <v>694</v>
      </c>
      <c r="E576" s="19">
        <v>45424</v>
      </c>
      <c r="F576" s="18">
        <v>48</v>
      </c>
      <c r="G576" s="20">
        <v>0.5</v>
      </c>
      <c r="H576" s="18">
        <f t="shared" ca="1" si="33"/>
        <v>77</v>
      </c>
      <c r="I576" s="18">
        <f t="shared" ca="1" si="34"/>
        <v>123</v>
      </c>
      <c r="J576" s="15">
        <f ca="1">K576-L576</f>
        <v>160.79999999999998</v>
      </c>
      <c r="K576" s="15">
        <v>240.79999999999998</v>
      </c>
      <c r="L576" s="15">
        <f ca="1">RANDBETWEEN(30,87)</f>
        <v>80</v>
      </c>
      <c r="M576" s="11">
        <f ca="1">(L576/J576)</f>
        <v>0.49751243781094534</v>
      </c>
      <c r="N576" s="18">
        <v>51</v>
      </c>
      <c r="O576" s="18" t="str">
        <f t="shared" ca="1" si="35"/>
        <v>Understocked</v>
      </c>
      <c r="P576" s="11" t="str">
        <f ca="1">RANDBETWEEN(30,76)&amp;"%"</f>
        <v>60%</v>
      </c>
      <c r="Q576" s="18">
        <f>PRODUCT(K576,N576)</f>
        <v>12280.8</v>
      </c>
    </row>
    <row r="577" spans="1:17" x14ac:dyDescent="0.45">
      <c r="A577" s="6" t="s">
        <v>781</v>
      </c>
      <c r="B577" s="9" t="s">
        <v>782</v>
      </c>
      <c r="C577" s="6" t="s">
        <v>45</v>
      </c>
      <c r="D577" s="18">
        <f ca="1">RANDBETWEEN(500,1000)</f>
        <v>505</v>
      </c>
      <c r="E577" s="19">
        <v>45681</v>
      </c>
      <c r="F577" s="18">
        <v>20</v>
      </c>
      <c r="G577" s="20">
        <v>0.42</v>
      </c>
      <c r="H577" s="18">
        <f t="shared" ca="1" si="33"/>
        <v>55</v>
      </c>
      <c r="I577" s="18">
        <f t="shared" ca="1" si="34"/>
        <v>158</v>
      </c>
      <c r="J577" s="15">
        <f ca="1">K577-L577</f>
        <v>516</v>
      </c>
      <c r="K577" s="15">
        <v>602</v>
      </c>
      <c r="L577" s="15">
        <f ca="1">RANDBETWEEN(30,87)</f>
        <v>86</v>
      </c>
      <c r="M577" s="11">
        <f ca="1">(L577/J577)</f>
        <v>0.16666666666666666</v>
      </c>
      <c r="N577" s="18">
        <v>80</v>
      </c>
      <c r="O577" s="18" t="str">
        <f t="shared" ca="1" si="35"/>
        <v>Understocked</v>
      </c>
      <c r="P577" s="11" t="str">
        <f ca="1">RANDBETWEEN(30,76)&amp;"%"</f>
        <v>62%</v>
      </c>
      <c r="Q577" s="18">
        <f>PRODUCT(K577,N577)</f>
        <v>48160</v>
      </c>
    </row>
    <row r="578" spans="1:17" x14ac:dyDescent="0.45">
      <c r="A578" s="6" t="s">
        <v>783</v>
      </c>
      <c r="B578" s="9" t="s">
        <v>782</v>
      </c>
      <c r="C578" s="6" t="s">
        <v>45</v>
      </c>
      <c r="D578" s="18">
        <f ca="1">RANDBETWEEN(500,1000)</f>
        <v>650</v>
      </c>
      <c r="E578" s="19">
        <v>45523</v>
      </c>
      <c r="F578" s="18">
        <v>68</v>
      </c>
      <c r="G578" s="20">
        <v>0.45</v>
      </c>
      <c r="H578" s="18">
        <f t="shared" ca="1" si="33"/>
        <v>77</v>
      </c>
      <c r="I578" s="18">
        <f t="shared" ca="1" si="34"/>
        <v>81</v>
      </c>
      <c r="J578" s="15">
        <f ca="1">K578-L578</f>
        <v>191</v>
      </c>
      <c r="K578" s="15">
        <v>258</v>
      </c>
      <c r="L578" s="15">
        <f ca="1">RANDBETWEEN(30,87)</f>
        <v>67</v>
      </c>
      <c r="M578" s="11">
        <f ca="1">(L578/J578)</f>
        <v>0.35078534031413611</v>
      </c>
      <c r="N578" s="18">
        <v>25</v>
      </c>
      <c r="O578" s="18" t="str">
        <f t="shared" ca="1" si="35"/>
        <v>Understocked</v>
      </c>
      <c r="P578" s="11" t="str">
        <f ca="1">RANDBETWEEN(30,76)&amp;"%"</f>
        <v>61%</v>
      </c>
      <c r="Q578" s="18">
        <f>PRODUCT(K578,N578)</f>
        <v>6450</v>
      </c>
    </row>
    <row r="579" spans="1:17" x14ac:dyDescent="0.45">
      <c r="A579" s="6" t="s">
        <v>784</v>
      </c>
      <c r="B579" s="9" t="s">
        <v>782</v>
      </c>
      <c r="C579" s="6" t="s">
        <v>45</v>
      </c>
      <c r="D579" s="18">
        <f ca="1">RANDBETWEEN(500,1000)</f>
        <v>583</v>
      </c>
      <c r="E579" s="19">
        <v>45434</v>
      </c>
      <c r="F579" s="18">
        <v>55</v>
      </c>
      <c r="G579" s="20">
        <v>0.47</v>
      </c>
      <c r="H579" s="18">
        <f t="shared" ca="1" si="33"/>
        <v>72</v>
      </c>
      <c r="I579" s="18">
        <f t="shared" ca="1" si="34"/>
        <v>132</v>
      </c>
      <c r="J579" s="15">
        <f ca="1">K579-L579</f>
        <v>1684</v>
      </c>
      <c r="K579" s="15">
        <v>1720</v>
      </c>
      <c r="L579" s="15">
        <f ca="1">RANDBETWEEN(30,87)</f>
        <v>36</v>
      </c>
      <c r="M579" s="11">
        <f ca="1">(L579/J579)</f>
        <v>2.1377672209026127E-2</v>
      </c>
      <c r="N579" s="18">
        <v>81</v>
      </c>
      <c r="O579" s="18" t="str">
        <f t="shared" ca="1" si="35"/>
        <v>Understocked</v>
      </c>
      <c r="P579" s="11" t="str">
        <f ca="1">RANDBETWEEN(30,76)&amp;"%"</f>
        <v>49%</v>
      </c>
      <c r="Q579" s="18">
        <f>PRODUCT(K579,N579)</f>
        <v>139320</v>
      </c>
    </row>
    <row r="580" spans="1:17" x14ac:dyDescent="0.45">
      <c r="A580" s="6" t="s">
        <v>785</v>
      </c>
      <c r="B580" s="9" t="s">
        <v>782</v>
      </c>
      <c r="C580" s="6" t="s">
        <v>45</v>
      </c>
      <c r="D580" s="18">
        <f ca="1">RANDBETWEEN(500,1000)</f>
        <v>808</v>
      </c>
      <c r="E580" s="19">
        <v>45675</v>
      </c>
      <c r="F580" s="18">
        <v>65</v>
      </c>
      <c r="G580" s="20">
        <v>0.41</v>
      </c>
      <c r="H580" s="18">
        <f t="shared" ca="1" si="33"/>
        <v>58</v>
      </c>
      <c r="I580" s="18">
        <f t="shared" ca="1" si="34"/>
        <v>139</v>
      </c>
      <c r="J580" s="15">
        <f ca="1">K580-L580</f>
        <v>162</v>
      </c>
      <c r="K580" s="15">
        <v>215</v>
      </c>
      <c r="L580" s="15">
        <f ca="1">RANDBETWEEN(30,87)</f>
        <v>53</v>
      </c>
      <c r="M580" s="11">
        <f ca="1">(L580/J580)</f>
        <v>0.3271604938271605</v>
      </c>
      <c r="N580" s="18">
        <v>25</v>
      </c>
      <c r="O580" s="18" t="str">
        <f t="shared" ca="1" si="35"/>
        <v>Optimal</v>
      </c>
      <c r="P580" s="11" t="str">
        <f ca="1">RANDBETWEEN(30,76)&amp;"%"</f>
        <v>51%</v>
      </c>
      <c r="Q580" s="18">
        <f>PRODUCT(K580,N580)</f>
        <v>5375</v>
      </c>
    </row>
    <row r="581" spans="1:17" x14ac:dyDescent="0.45">
      <c r="A581" s="6" t="s">
        <v>786</v>
      </c>
      <c r="B581" s="9" t="s">
        <v>782</v>
      </c>
      <c r="C581" s="6" t="s">
        <v>45</v>
      </c>
      <c r="D581" s="18">
        <f ca="1">RANDBETWEEN(500,1000)</f>
        <v>770</v>
      </c>
      <c r="E581" s="19">
        <v>45366</v>
      </c>
      <c r="F581" s="18">
        <v>14</v>
      </c>
      <c r="G581" s="20">
        <v>0.84</v>
      </c>
      <c r="H581" s="18">
        <f t="shared" ca="1" si="33"/>
        <v>60</v>
      </c>
      <c r="I581" s="18">
        <f t="shared" ca="1" si="34"/>
        <v>98</v>
      </c>
      <c r="J581" s="15">
        <f ca="1">K581-L581</f>
        <v>388</v>
      </c>
      <c r="K581" s="15">
        <v>430</v>
      </c>
      <c r="L581" s="15">
        <f ca="1">RANDBETWEEN(30,87)</f>
        <v>42</v>
      </c>
      <c r="M581" s="11">
        <f ca="1">(L581/J581)</f>
        <v>0.10824742268041238</v>
      </c>
      <c r="N581" s="18">
        <v>74</v>
      </c>
      <c r="O581" s="18" t="str">
        <f t="shared" ca="1" si="35"/>
        <v>Understocked</v>
      </c>
      <c r="P581" s="11" t="str">
        <f ca="1">RANDBETWEEN(30,76)&amp;"%"</f>
        <v>40%</v>
      </c>
      <c r="Q581" s="18">
        <f>PRODUCT(K581,N581)</f>
        <v>31820</v>
      </c>
    </row>
    <row r="582" spans="1:17" x14ac:dyDescent="0.45">
      <c r="A582" s="6" t="s">
        <v>787</v>
      </c>
      <c r="B582" s="9" t="s">
        <v>782</v>
      </c>
      <c r="C582" s="6" t="s">
        <v>45</v>
      </c>
      <c r="D582" s="18">
        <f ca="1">RANDBETWEEN(500,1000)</f>
        <v>917</v>
      </c>
      <c r="E582" s="19">
        <v>45509</v>
      </c>
      <c r="F582" s="18">
        <v>18</v>
      </c>
      <c r="G582" s="20">
        <v>0.72</v>
      </c>
      <c r="H582" s="18">
        <f t="shared" ca="1" si="33"/>
        <v>66</v>
      </c>
      <c r="I582" s="18">
        <f t="shared" ca="1" si="34"/>
        <v>73</v>
      </c>
      <c r="J582" s="15">
        <f ca="1">K582-L582</f>
        <v>546.20000000000005</v>
      </c>
      <c r="K582" s="15">
        <v>576.20000000000005</v>
      </c>
      <c r="L582" s="15">
        <f ca="1">RANDBETWEEN(30,87)</f>
        <v>30</v>
      </c>
      <c r="M582" s="11">
        <f ca="1">(L582/J582)</f>
        <v>5.4924935920908087E-2</v>
      </c>
      <c r="N582" s="18">
        <v>88</v>
      </c>
      <c r="O582" s="18" t="str">
        <f t="shared" ca="1" si="35"/>
        <v>Understocked</v>
      </c>
      <c r="P582" s="11" t="str">
        <f ca="1">RANDBETWEEN(30,76)&amp;"%"</f>
        <v>49%</v>
      </c>
      <c r="Q582" s="18">
        <f>PRODUCT(K582,N582)</f>
        <v>50705.600000000006</v>
      </c>
    </row>
    <row r="583" spans="1:17" x14ac:dyDescent="0.45">
      <c r="A583" s="6" t="s">
        <v>788</v>
      </c>
      <c r="B583" s="9" t="s">
        <v>782</v>
      </c>
      <c r="C583" s="6" t="s">
        <v>45</v>
      </c>
      <c r="D583" s="18">
        <f ca="1">RANDBETWEEN(500,1000)</f>
        <v>869</v>
      </c>
      <c r="E583" s="19">
        <v>45682</v>
      </c>
      <c r="F583" s="18">
        <v>48</v>
      </c>
      <c r="G583" s="20">
        <v>0.88</v>
      </c>
      <c r="H583" s="18">
        <f t="shared" ca="1" si="33"/>
        <v>59</v>
      </c>
      <c r="I583" s="18">
        <f t="shared" ca="1" si="34"/>
        <v>163</v>
      </c>
      <c r="J583" s="15">
        <f ca="1">K583-L583</f>
        <v>161</v>
      </c>
      <c r="K583" s="15">
        <v>215</v>
      </c>
      <c r="L583" s="15">
        <f ca="1">RANDBETWEEN(30,87)</f>
        <v>54</v>
      </c>
      <c r="M583" s="11">
        <f ca="1">(L583/J583)</f>
        <v>0.33540372670807456</v>
      </c>
      <c r="N583" s="18">
        <v>51</v>
      </c>
      <c r="O583" s="18" t="str">
        <f t="shared" ca="1" si="35"/>
        <v>Understocked</v>
      </c>
      <c r="P583" s="11" t="str">
        <f ca="1">RANDBETWEEN(30,76)&amp;"%"</f>
        <v>73%</v>
      </c>
      <c r="Q583" s="18">
        <f>PRODUCT(K583,N583)</f>
        <v>10965</v>
      </c>
    </row>
    <row r="584" spans="1:17" x14ac:dyDescent="0.45">
      <c r="A584" s="6" t="s">
        <v>789</v>
      </c>
      <c r="B584" s="9" t="s">
        <v>782</v>
      </c>
      <c r="C584" s="6" t="s">
        <v>45</v>
      </c>
      <c r="D584" s="18">
        <f ca="1">RANDBETWEEN(500,1000)</f>
        <v>768</v>
      </c>
      <c r="E584" s="19">
        <v>45691</v>
      </c>
      <c r="F584" s="18">
        <v>70</v>
      </c>
      <c r="G584" s="20">
        <v>0.88</v>
      </c>
      <c r="H584" s="18">
        <f t="shared" ca="1" si="33"/>
        <v>61</v>
      </c>
      <c r="I584" s="18">
        <f t="shared" ca="1" si="34"/>
        <v>153</v>
      </c>
      <c r="J584" s="15">
        <f ca="1">K584-L584</f>
        <v>601.6</v>
      </c>
      <c r="K584" s="15">
        <v>653.6</v>
      </c>
      <c r="L584" s="15">
        <f ca="1">RANDBETWEEN(30,87)</f>
        <v>52</v>
      </c>
      <c r="M584" s="11">
        <f ca="1">(L584/J584)</f>
        <v>8.643617021276595E-2</v>
      </c>
      <c r="N584" s="18">
        <v>44</v>
      </c>
      <c r="O584" s="18" t="str">
        <f t="shared" ca="1" si="35"/>
        <v>Optimal</v>
      </c>
      <c r="P584" s="11" t="str">
        <f ca="1">RANDBETWEEN(30,76)&amp;"%"</f>
        <v>68%</v>
      </c>
      <c r="Q584" s="18">
        <f>PRODUCT(K584,N584)</f>
        <v>28758.400000000001</v>
      </c>
    </row>
    <row r="585" spans="1:17" x14ac:dyDescent="0.45">
      <c r="A585" s="6" t="s">
        <v>790</v>
      </c>
      <c r="B585" s="9" t="s">
        <v>782</v>
      </c>
      <c r="C585" s="6" t="s">
        <v>45</v>
      </c>
      <c r="D585" s="18">
        <f ca="1">RANDBETWEEN(500,1000)</f>
        <v>934</v>
      </c>
      <c r="E585" s="19">
        <v>45578</v>
      </c>
      <c r="F585" s="18">
        <v>18</v>
      </c>
      <c r="G585" s="20">
        <v>0.6</v>
      </c>
      <c r="H585" s="18">
        <f t="shared" ca="1" si="33"/>
        <v>70</v>
      </c>
      <c r="I585" s="18">
        <f t="shared" ca="1" si="34"/>
        <v>116</v>
      </c>
      <c r="J585" s="15">
        <f ca="1">K585-L585</f>
        <v>365</v>
      </c>
      <c r="K585" s="15">
        <v>430</v>
      </c>
      <c r="L585" s="15">
        <f ca="1">RANDBETWEEN(30,87)</f>
        <v>65</v>
      </c>
      <c r="M585" s="11">
        <f ca="1">(L585/J585)</f>
        <v>0.17808219178082191</v>
      </c>
      <c r="N585" s="18">
        <v>42</v>
      </c>
      <c r="O585" s="18" t="str">
        <f t="shared" ca="1" si="35"/>
        <v>Understocked</v>
      </c>
      <c r="P585" s="11" t="str">
        <f ca="1">RANDBETWEEN(30,76)&amp;"%"</f>
        <v>67%</v>
      </c>
      <c r="Q585" s="18">
        <f>PRODUCT(K585,N585)</f>
        <v>18060</v>
      </c>
    </row>
    <row r="586" spans="1:17" x14ac:dyDescent="0.45">
      <c r="A586" s="6" t="s">
        <v>791</v>
      </c>
      <c r="B586" s="9" t="s">
        <v>782</v>
      </c>
      <c r="C586" s="6" t="s">
        <v>45</v>
      </c>
      <c r="D586" s="18">
        <f ca="1">RANDBETWEEN(500,1000)</f>
        <v>832</v>
      </c>
      <c r="E586" s="19">
        <v>45582</v>
      </c>
      <c r="F586" s="18">
        <v>44</v>
      </c>
      <c r="G586" s="20">
        <v>0.62</v>
      </c>
      <c r="H586" s="18">
        <f t="shared" ca="1" si="33"/>
        <v>56</v>
      </c>
      <c r="I586" s="18">
        <f t="shared" ca="1" si="34"/>
        <v>166</v>
      </c>
      <c r="J586" s="15">
        <f ca="1">K586-L586</f>
        <v>354</v>
      </c>
      <c r="K586" s="15">
        <v>430</v>
      </c>
      <c r="L586" s="15">
        <f ca="1">RANDBETWEEN(30,87)</f>
        <v>76</v>
      </c>
      <c r="M586" s="11">
        <f ca="1">(L586/J586)</f>
        <v>0.21468926553672316</v>
      </c>
      <c r="N586" s="18">
        <v>96</v>
      </c>
      <c r="O586" s="18" t="str">
        <f t="shared" ca="1" si="35"/>
        <v>Understocked</v>
      </c>
      <c r="P586" s="11" t="str">
        <f ca="1">RANDBETWEEN(30,76)&amp;"%"</f>
        <v>69%</v>
      </c>
      <c r="Q586" s="18">
        <f>PRODUCT(K586,N586)</f>
        <v>41280</v>
      </c>
    </row>
    <row r="587" spans="1:17" x14ac:dyDescent="0.45">
      <c r="A587" s="6" t="s">
        <v>792</v>
      </c>
      <c r="B587" s="9" t="s">
        <v>793</v>
      </c>
      <c r="C587" s="6" t="s">
        <v>45</v>
      </c>
      <c r="D587" s="18">
        <f ca="1">RANDBETWEEN(500,1000)</f>
        <v>706</v>
      </c>
      <c r="E587" s="19">
        <v>45576</v>
      </c>
      <c r="F587" s="18">
        <v>37</v>
      </c>
      <c r="G587" s="20">
        <v>0.36</v>
      </c>
      <c r="H587" s="18">
        <f t="shared" ca="1" si="33"/>
        <v>63</v>
      </c>
      <c r="I587" s="18">
        <f t="shared" ca="1" si="34"/>
        <v>159</v>
      </c>
      <c r="J587" s="15">
        <f ca="1">K587-L587</f>
        <v>604</v>
      </c>
      <c r="K587" s="15">
        <v>645</v>
      </c>
      <c r="L587" s="15">
        <f ca="1">RANDBETWEEN(30,87)</f>
        <v>41</v>
      </c>
      <c r="M587" s="11">
        <f ca="1">(L587/J587)</f>
        <v>6.7880794701986755E-2</v>
      </c>
      <c r="N587" s="18">
        <v>62</v>
      </c>
      <c r="O587" s="18" t="str">
        <f t="shared" ca="1" si="35"/>
        <v>Understocked</v>
      </c>
      <c r="P587" s="11" t="str">
        <f ca="1">RANDBETWEEN(30,76)&amp;"%"</f>
        <v>70%</v>
      </c>
      <c r="Q587" s="18">
        <f>PRODUCT(K587,N587)</f>
        <v>39990</v>
      </c>
    </row>
    <row r="588" spans="1:17" x14ac:dyDescent="0.45">
      <c r="A588" s="6" t="s">
        <v>794</v>
      </c>
      <c r="B588" s="9" t="s">
        <v>793</v>
      </c>
      <c r="C588" s="6" t="s">
        <v>45</v>
      </c>
      <c r="D588" s="18">
        <f ca="1">RANDBETWEEN(500,1000)</f>
        <v>963</v>
      </c>
      <c r="E588" s="19">
        <v>45458</v>
      </c>
      <c r="F588" s="18">
        <v>40</v>
      </c>
      <c r="G588" s="20">
        <v>0.45</v>
      </c>
      <c r="H588" s="18">
        <f t="shared" ca="1" si="33"/>
        <v>65</v>
      </c>
      <c r="I588" s="18">
        <f t="shared" ca="1" si="34"/>
        <v>175</v>
      </c>
      <c r="J588" s="15">
        <f ca="1">K588-L588</f>
        <v>405</v>
      </c>
      <c r="K588" s="15">
        <v>473</v>
      </c>
      <c r="L588" s="15">
        <f ca="1">RANDBETWEEN(30,87)</f>
        <v>68</v>
      </c>
      <c r="M588" s="11">
        <f ca="1">(L588/J588)</f>
        <v>0.16790123456790124</v>
      </c>
      <c r="N588" s="18">
        <v>45</v>
      </c>
      <c r="O588" s="18" t="str">
        <f t="shared" ca="1" si="35"/>
        <v>Understocked</v>
      </c>
      <c r="P588" s="11" t="str">
        <f ca="1">RANDBETWEEN(30,76)&amp;"%"</f>
        <v>67%</v>
      </c>
      <c r="Q588" s="18">
        <f>PRODUCT(K588,N588)</f>
        <v>21285</v>
      </c>
    </row>
    <row r="589" spans="1:17" x14ac:dyDescent="0.45">
      <c r="A589" s="6" t="s">
        <v>796</v>
      </c>
      <c r="B589" s="9" t="s">
        <v>793</v>
      </c>
      <c r="C589" s="6" t="s">
        <v>45</v>
      </c>
      <c r="D589" s="18">
        <f ca="1">RANDBETWEEN(500,1000)</f>
        <v>979</v>
      </c>
      <c r="E589" s="19">
        <v>45451</v>
      </c>
      <c r="F589" s="18">
        <v>22</v>
      </c>
      <c r="G589" s="20">
        <v>0.3</v>
      </c>
      <c r="H589" s="18">
        <f t="shared" ca="1" si="33"/>
        <v>70</v>
      </c>
      <c r="I589" s="18">
        <f t="shared" ca="1" si="34"/>
        <v>86</v>
      </c>
      <c r="J589" s="15">
        <f ca="1">K589-L589</f>
        <v>960</v>
      </c>
      <c r="K589" s="15">
        <v>1032</v>
      </c>
      <c r="L589" s="15">
        <f ca="1">RANDBETWEEN(30,87)</f>
        <v>72</v>
      </c>
      <c r="M589" s="11">
        <f ca="1">(L589/J589)</f>
        <v>7.4999999999999997E-2</v>
      </c>
      <c r="N589" s="18">
        <v>70</v>
      </c>
      <c r="O589" s="18" t="str">
        <f t="shared" ca="1" si="35"/>
        <v>Understocked</v>
      </c>
      <c r="P589" s="11" t="str">
        <f ca="1">RANDBETWEEN(30,76)&amp;"%"</f>
        <v>50%</v>
      </c>
      <c r="Q589" s="18">
        <f>PRODUCT(K589,N589)</f>
        <v>72240</v>
      </c>
    </row>
    <row r="590" spans="1:17" x14ac:dyDescent="0.45">
      <c r="A590" s="6" t="s">
        <v>797</v>
      </c>
      <c r="B590" s="9" t="s">
        <v>793</v>
      </c>
      <c r="C590" s="6" t="s">
        <v>45</v>
      </c>
      <c r="D590" s="18">
        <f ca="1">RANDBETWEEN(500,1000)</f>
        <v>907</v>
      </c>
      <c r="E590" s="19">
        <v>45457</v>
      </c>
      <c r="F590" s="18">
        <v>64</v>
      </c>
      <c r="G590" s="20">
        <v>0.34</v>
      </c>
      <c r="H590" s="18">
        <f t="shared" ca="1" si="33"/>
        <v>78</v>
      </c>
      <c r="I590" s="18">
        <f t="shared" ca="1" si="34"/>
        <v>193</v>
      </c>
      <c r="J590" s="15">
        <f ca="1">K590-L590</f>
        <v>179</v>
      </c>
      <c r="K590" s="15">
        <v>258</v>
      </c>
      <c r="L590" s="15">
        <f ca="1">RANDBETWEEN(30,87)</f>
        <v>79</v>
      </c>
      <c r="M590" s="11">
        <f ca="1">(L590/J590)</f>
        <v>0.44134078212290501</v>
      </c>
      <c r="N590" s="18">
        <v>60</v>
      </c>
      <c r="O590" s="18" t="str">
        <f t="shared" ca="1" si="35"/>
        <v>Understocked</v>
      </c>
      <c r="P590" s="11" t="str">
        <f ca="1">RANDBETWEEN(30,76)&amp;"%"</f>
        <v>53%</v>
      </c>
      <c r="Q590" s="18">
        <f>PRODUCT(K590,N590)</f>
        <v>15480</v>
      </c>
    </row>
    <row r="591" spans="1:17" hidden="1" x14ac:dyDescent="0.45">
      <c r="A591" t="s">
        <v>682</v>
      </c>
      <c r="B591" t="s">
        <v>678</v>
      </c>
      <c r="C591" t="s">
        <v>219</v>
      </c>
      <c r="D591">
        <f ca="1">RANDBETWEEN(8,15)</f>
        <v>12</v>
      </c>
      <c r="E591" s="1">
        <v>45428</v>
      </c>
      <c r="F591">
        <v>93</v>
      </c>
      <c r="G591" s="2">
        <v>0.6</v>
      </c>
      <c r="H591">
        <v>50</v>
      </c>
      <c r="I591">
        <v>43</v>
      </c>
      <c r="J591" s="4">
        <f ca="1">K591-L591</f>
        <v>-35.799999999999997</v>
      </c>
      <c r="K591" s="4">
        <v>17.2</v>
      </c>
      <c r="L591" s="4">
        <f ca="1">RANDBETWEEN(30,87)</f>
        <v>53</v>
      </c>
      <c r="M591" s="3">
        <f ca="1">(L591/J591)</f>
        <v>-1.4804469273743017</v>
      </c>
      <c r="N591">
        <v>76</v>
      </c>
      <c r="O591" t="s">
        <v>15</v>
      </c>
      <c r="P591">
        <v>78</v>
      </c>
    </row>
    <row r="592" spans="1:17" x14ac:dyDescent="0.45">
      <c r="A592" s="6" t="s">
        <v>799</v>
      </c>
      <c r="B592" s="9" t="s">
        <v>793</v>
      </c>
      <c r="C592" s="6" t="s">
        <v>45</v>
      </c>
      <c r="D592" s="18">
        <f ca="1">RANDBETWEEN(500,1000)</f>
        <v>711</v>
      </c>
      <c r="E592" s="19">
        <v>45573</v>
      </c>
      <c r="F592" s="18">
        <v>85</v>
      </c>
      <c r="G592" s="20">
        <v>0.54</v>
      </c>
      <c r="H592" s="18">
        <f t="shared" ref="H592:H655" ca="1" si="36">RANDBETWEEN(50,80)</f>
        <v>65</v>
      </c>
      <c r="I592" s="18">
        <f t="shared" ref="I592:I655" ca="1" si="37">RANDBETWEEN(70,200)</f>
        <v>176</v>
      </c>
      <c r="J592" s="15">
        <f ca="1">K592-L592</f>
        <v>353</v>
      </c>
      <c r="K592" s="15">
        <v>430</v>
      </c>
      <c r="L592" s="15">
        <f ca="1">RANDBETWEEN(30,87)</f>
        <v>77</v>
      </c>
      <c r="M592" s="11">
        <f ca="1">(L592/J592)</f>
        <v>0.21813031161473087</v>
      </c>
      <c r="N592" s="18">
        <v>58</v>
      </c>
      <c r="O592" s="18" t="str">
        <f t="shared" ref="O592:O655" ca="1" si="38">IF(F592&lt;H592,"Understocked","Optimal")</f>
        <v>Optimal</v>
      </c>
      <c r="P592" s="11" t="str">
        <f ca="1">RANDBETWEEN(30,76)&amp;"%"</f>
        <v>53%</v>
      </c>
      <c r="Q592" s="18">
        <f>PRODUCT(K592,N592)</f>
        <v>24940</v>
      </c>
    </row>
    <row r="593" spans="1:17" x14ac:dyDescent="0.45">
      <c r="A593" s="6" t="s">
        <v>800</v>
      </c>
      <c r="B593" s="9" t="s">
        <v>793</v>
      </c>
      <c r="C593" s="6" t="s">
        <v>45</v>
      </c>
      <c r="D593" s="18">
        <f ca="1">RANDBETWEEN(500,1000)</f>
        <v>794</v>
      </c>
      <c r="E593" s="19">
        <v>45684</v>
      </c>
      <c r="F593" s="18">
        <v>20</v>
      </c>
      <c r="G593" s="20">
        <v>0.83</v>
      </c>
      <c r="H593" s="18">
        <f t="shared" ca="1" si="36"/>
        <v>79</v>
      </c>
      <c r="I593" s="18">
        <f t="shared" ca="1" si="37"/>
        <v>70</v>
      </c>
      <c r="J593" s="15">
        <f ca="1">K593-L593</f>
        <v>167.4</v>
      </c>
      <c r="K593" s="15">
        <v>249.4</v>
      </c>
      <c r="L593" s="15">
        <f ca="1">RANDBETWEEN(30,87)</f>
        <v>82</v>
      </c>
      <c r="M593" s="11">
        <f ca="1">(L593/J593)</f>
        <v>0.48984468339307047</v>
      </c>
      <c r="N593" s="18">
        <v>61</v>
      </c>
      <c r="O593" s="18" t="str">
        <f t="shared" ca="1" si="38"/>
        <v>Understocked</v>
      </c>
      <c r="P593" s="11" t="str">
        <f ca="1">RANDBETWEEN(30,76)&amp;"%"</f>
        <v>43%</v>
      </c>
      <c r="Q593" s="18">
        <f>PRODUCT(K593,N593)</f>
        <v>15213.4</v>
      </c>
    </row>
    <row r="594" spans="1:17" x14ac:dyDescent="0.45">
      <c r="A594" s="6" t="s">
        <v>801</v>
      </c>
      <c r="B594" s="9" t="s">
        <v>793</v>
      </c>
      <c r="C594" s="6" t="s">
        <v>45</v>
      </c>
      <c r="D594" s="18">
        <f ca="1">RANDBETWEEN(500,1000)</f>
        <v>643</v>
      </c>
      <c r="E594" s="19">
        <v>45482</v>
      </c>
      <c r="F594" s="18">
        <v>11</v>
      </c>
      <c r="G594" s="20">
        <v>0.75</v>
      </c>
      <c r="H594" s="18">
        <f t="shared" ca="1" si="36"/>
        <v>71</v>
      </c>
      <c r="I594" s="18">
        <f t="shared" ca="1" si="37"/>
        <v>129</v>
      </c>
      <c r="J594" s="15">
        <f ca="1">K594-L594</f>
        <v>302.39999999999998</v>
      </c>
      <c r="K594" s="15">
        <v>335.4</v>
      </c>
      <c r="L594" s="15">
        <f ca="1">RANDBETWEEN(30,87)</f>
        <v>33</v>
      </c>
      <c r="M594" s="11">
        <f ca="1">(L594/J594)</f>
        <v>0.10912698412698414</v>
      </c>
      <c r="N594" s="18">
        <v>99</v>
      </c>
      <c r="O594" s="18" t="str">
        <f t="shared" ca="1" si="38"/>
        <v>Understocked</v>
      </c>
      <c r="P594" s="11" t="str">
        <f ca="1">RANDBETWEEN(30,76)&amp;"%"</f>
        <v>63%</v>
      </c>
      <c r="Q594" s="18">
        <f>PRODUCT(K594,N594)</f>
        <v>33204.6</v>
      </c>
    </row>
    <row r="595" spans="1:17" x14ac:dyDescent="0.45">
      <c r="A595" s="6" t="s">
        <v>802</v>
      </c>
      <c r="B595" s="9" t="s">
        <v>793</v>
      </c>
      <c r="C595" s="6" t="s">
        <v>45</v>
      </c>
      <c r="D595" s="18">
        <f ca="1">RANDBETWEEN(500,1000)</f>
        <v>541</v>
      </c>
      <c r="E595" s="19">
        <v>45667</v>
      </c>
      <c r="F595" s="18">
        <v>11</v>
      </c>
      <c r="G595" s="20">
        <v>0.52</v>
      </c>
      <c r="H595" s="18">
        <f t="shared" ca="1" si="36"/>
        <v>60</v>
      </c>
      <c r="I595" s="18">
        <f t="shared" ca="1" si="37"/>
        <v>136</v>
      </c>
      <c r="J595" s="15">
        <f ca="1">K595-L595</f>
        <v>393</v>
      </c>
      <c r="K595" s="15">
        <v>473</v>
      </c>
      <c r="L595" s="15">
        <f ca="1">RANDBETWEEN(30,87)</f>
        <v>80</v>
      </c>
      <c r="M595" s="11">
        <f ca="1">(L595/J595)</f>
        <v>0.20356234096692111</v>
      </c>
      <c r="N595" s="18">
        <v>40</v>
      </c>
      <c r="O595" s="18" t="str">
        <f t="shared" ca="1" si="38"/>
        <v>Understocked</v>
      </c>
      <c r="P595" s="11" t="str">
        <f ca="1">RANDBETWEEN(30,76)&amp;"%"</f>
        <v>60%</v>
      </c>
      <c r="Q595" s="18">
        <f>PRODUCT(K595,N595)</f>
        <v>18920</v>
      </c>
    </row>
    <row r="596" spans="1:17" x14ac:dyDescent="0.45">
      <c r="A596" s="6" t="s">
        <v>803</v>
      </c>
      <c r="B596" s="9" t="s">
        <v>804</v>
      </c>
      <c r="C596" s="6" t="s">
        <v>45</v>
      </c>
      <c r="D596" s="18">
        <f ca="1">RANDBETWEEN(500,1000)</f>
        <v>710</v>
      </c>
      <c r="E596" s="19">
        <v>45568</v>
      </c>
      <c r="F596" s="18">
        <v>59</v>
      </c>
      <c r="G596" s="20">
        <v>0.56999999999999995</v>
      </c>
      <c r="H596" s="18">
        <f t="shared" ca="1" si="36"/>
        <v>77</v>
      </c>
      <c r="I596" s="18">
        <f t="shared" ca="1" si="37"/>
        <v>200</v>
      </c>
      <c r="J596" s="15">
        <f ca="1">K596-L596</f>
        <v>96</v>
      </c>
      <c r="K596" s="15">
        <v>172</v>
      </c>
      <c r="L596" s="15">
        <f ca="1">RANDBETWEEN(30,87)</f>
        <v>76</v>
      </c>
      <c r="M596" s="11">
        <f ca="1">(L596/J596)</f>
        <v>0.79166666666666663</v>
      </c>
      <c r="N596" s="18">
        <v>47</v>
      </c>
      <c r="O596" s="18" t="str">
        <f t="shared" ca="1" si="38"/>
        <v>Understocked</v>
      </c>
      <c r="P596" s="11" t="str">
        <f ca="1">RANDBETWEEN(30,76)&amp;"%"</f>
        <v>40%</v>
      </c>
      <c r="Q596" s="18">
        <f>PRODUCT(K596,N596)</f>
        <v>8084</v>
      </c>
    </row>
    <row r="597" spans="1:17" x14ac:dyDescent="0.45">
      <c r="A597" s="6" t="s">
        <v>805</v>
      </c>
      <c r="B597" s="9" t="s">
        <v>804</v>
      </c>
      <c r="C597" s="6" t="s">
        <v>45</v>
      </c>
      <c r="D597" s="18">
        <f ca="1">RANDBETWEEN(500,1000)</f>
        <v>516</v>
      </c>
      <c r="E597" s="19">
        <v>45604</v>
      </c>
      <c r="F597" s="18">
        <v>88</v>
      </c>
      <c r="G597" s="20">
        <v>0.33</v>
      </c>
      <c r="H597" s="18">
        <f t="shared" ca="1" si="36"/>
        <v>55</v>
      </c>
      <c r="I597" s="18">
        <f t="shared" ca="1" si="37"/>
        <v>149</v>
      </c>
      <c r="J597" s="15">
        <f ca="1">K597-L597</f>
        <v>228.2</v>
      </c>
      <c r="K597" s="15">
        <v>275.2</v>
      </c>
      <c r="L597" s="15">
        <f ca="1">RANDBETWEEN(30,87)</f>
        <v>47</v>
      </c>
      <c r="M597" s="11">
        <f ca="1">(L597/J597)</f>
        <v>0.20595968448729185</v>
      </c>
      <c r="N597" s="18">
        <v>72</v>
      </c>
      <c r="O597" s="18" t="str">
        <f t="shared" ca="1" si="38"/>
        <v>Optimal</v>
      </c>
      <c r="P597" s="11" t="str">
        <f ca="1">RANDBETWEEN(30,76)&amp;"%"</f>
        <v>54%</v>
      </c>
      <c r="Q597" s="18">
        <f>PRODUCT(K597,N597)</f>
        <v>19814.399999999998</v>
      </c>
    </row>
    <row r="598" spans="1:17" x14ac:dyDescent="0.45">
      <c r="A598" s="6" t="s">
        <v>806</v>
      </c>
      <c r="B598" s="9" t="s">
        <v>804</v>
      </c>
      <c r="C598" s="6" t="s">
        <v>45</v>
      </c>
      <c r="D598" s="18">
        <f ca="1">RANDBETWEEN(500,1000)</f>
        <v>929</v>
      </c>
      <c r="E598" s="19">
        <v>45702</v>
      </c>
      <c r="F598" s="18">
        <v>19</v>
      </c>
      <c r="G598" s="20">
        <v>0.51</v>
      </c>
      <c r="H598" s="18">
        <f t="shared" ca="1" si="36"/>
        <v>79</v>
      </c>
      <c r="I598" s="18">
        <f t="shared" ca="1" si="37"/>
        <v>195</v>
      </c>
      <c r="J598" s="15">
        <f ca="1">K598-L598</f>
        <v>186</v>
      </c>
      <c r="K598" s="15">
        <v>258</v>
      </c>
      <c r="L598" s="15">
        <f ca="1">RANDBETWEEN(30,87)</f>
        <v>72</v>
      </c>
      <c r="M598" s="11">
        <f ca="1">(L598/J598)</f>
        <v>0.38709677419354838</v>
      </c>
      <c r="N598" s="18">
        <v>59</v>
      </c>
      <c r="O598" s="18" t="str">
        <f t="shared" ca="1" si="38"/>
        <v>Understocked</v>
      </c>
      <c r="P598" s="11" t="str">
        <f ca="1">RANDBETWEEN(30,76)&amp;"%"</f>
        <v>70%</v>
      </c>
      <c r="Q598" s="18">
        <f>PRODUCT(K598,N598)</f>
        <v>15222</v>
      </c>
    </row>
    <row r="599" spans="1:17" x14ac:dyDescent="0.45">
      <c r="A599" s="6" t="s">
        <v>807</v>
      </c>
      <c r="B599" s="9" t="s">
        <v>804</v>
      </c>
      <c r="C599" s="6" t="s">
        <v>45</v>
      </c>
      <c r="D599" s="18">
        <f ca="1">RANDBETWEEN(500,1000)</f>
        <v>942</v>
      </c>
      <c r="E599" s="19">
        <v>45682</v>
      </c>
      <c r="F599" s="18">
        <v>81</v>
      </c>
      <c r="G599" s="20">
        <v>0.78</v>
      </c>
      <c r="H599" s="18">
        <f t="shared" ca="1" si="36"/>
        <v>53</v>
      </c>
      <c r="I599" s="18">
        <f t="shared" ca="1" si="37"/>
        <v>182</v>
      </c>
      <c r="J599" s="15">
        <f ca="1">K599-L599</f>
        <v>330</v>
      </c>
      <c r="K599" s="15">
        <v>387</v>
      </c>
      <c r="L599" s="15">
        <f ca="1">RANDBETWEEN(30,87)</f>
        <v>57</v>
      </c>
      <c r="M599" s="11">
        <f ca="1">(L599/J599)</f>
        <v>0.17272727272727273</v>
      </c>
      <c r="N599" s="18">
        <v>94</v>
      </c>
      <c r="O599" s="18" t="str">
        <f t="shared" ca="1" si="38"/>
        <v>Optimal</v>
      </c>
      <c r="P599" s="11" t="str">
        <f ca="1">RANDBETWEEN(30,76)&amp;"%"</f>
        <v>44%</v>
      </c>
      <c r="Q599" s="18">
        <f>PRODUCT(K599,N599)</f>
        <v>36378</v>
      </c>
    </row>
    <row r="600" spans="1:17" x14ac:dyDescent="0.45">
      <c r="A600" t="s">
        <v>703</v>
      </c>
      <c r="B600" t="s">
        <v>692</v>
      </c>
      <c r="C600" t="s">
        <v>45</v>
      </c>
      <c r="D600" s="18">
        <f ca="1">RANDBETWEEN(500,1000)</f>
        <v>983</v>
      </c>
      <c r="E600" s="1">
        <v>45372</v>
      </c>
      <c r="F600">
        <v>16</v>
      </c>
      <c r="G600" s="2">
        <v>0.83</v>
      </c>
      <c r="H600" s="18">
        <f t="shared" ca="1" si="36"/>
        <v>65</v>
      </c>
      <c r="I600" s="18">
        <f t="shared" ca="1" si="37"/>
        <v>112</v>
      </c>
      <c r="J600" s="4">
        <f ca="1">K600-L600</f>
        <v>1678</v>
      </c>
      <c r="K600" s="4">
        <v>1720</v>
      </c>
      <c r="L600" s="4">
        <f ca="1">RANDBETWEEN(30,87)</f>
        <v>42</v>
      </c>
      <c r="M600" s="3">
        <f ca="1">(L600/J600)</f>
        <v>2.5029797377830752E-2</v>
      </c>
      <c r="N600">
        <v>22</v>
      </c>
      <c r="O600" s="18" t="str">
        <f t="shared" ca="1" si="38"/>
        <v>Understocked</v>
      </c>
      <c r="P600">
        <v>39</v>
      </c>
    </row>
    <row r="601" spans="1:17" x14ac:dyDescent="0.45">
      <c r="A601" s="6" t="s">
        <v>808</v>
      </c>
      <c r="B601" s="9" t="s">
        <v>804</v>
      </c>
      <c r="C601" s="6" t="s">
        <v>45</v>
      </c>
      <c r="D601" s="18">
        <f ca="1">RANDBETWEEN(500,1000)</f>
        <v>537</v>
      </c>
      <c r="E601" s="19">
        <v>45387</v>
      </c>
      <c r="F601" s="18">
        <v>26</v>
      </c>
      <c r="G601" s="20">
        <v>0.78</v>
      </c>
      <c r="H601" s="18">
        <f t="shared" ca="1" si="36"/>
        <v>70</v>
      </c>
      <c r="I601" s="18">
        <f t="shared" ca="1" si="37"/>
        <v>120</v>
      </c>
      <c r="J601" s="15">
        <f ca="1">K601-L601</f>
        <v>259</v>
      </c>
      <c r="K601" s="15">
        <v>344</v>
      </c>
      <c r="L601" s="15">
        <f ca="1">RANDBETWEEN(30,87)</f>
        <v>85</v>
      </c>
      <c r="M601" s="11">
        <f ca="1">(L601/J601)</f>
        <v>0.3281853281853282</v>
      </c>
      <c r="N601" s="18">
        <v>82</v>
      </c>
      <c r="O601" s="18" t="str">
        <f t="shared" ca="1" si="38"/>
        <v>Understocked</v>
      </c>
      <c r="P601" s="11" t="str">
        <f ca="1">RANDBETWEEN(30,76)&amp;"%"</f>
        <v>65%</v>
      </c>
      <c r="Q601" s="18">
        <f>PRODUCT(K601,N601)</f>
        <v>28208</v>
      </c>
    </row>
    <row r="602" spans="1:17" x14ac:dyDescent="0.45">
      <c r="A602" s="6" t="s">
        <v>810</v>
      </c>
      <c r="B602" s="9" t="s">
        <v>804</v>
      </c>
      <c r="C602" s="6" t="s">
        <v>45</v>
      </c>
      <c r="D602" s="18">
        <f ca="1">RANDBETWEEN(500,1000)</f>
        <v>629</v>
      </c>
      <c r="E602" s="19">
        <v>45538</v>
      </c>
      <c r="F602" s="18">
        <v>43</v>
      </c>
      <c r="G602" s="20">
        <v>0.49</v>
      </c>
      <c r="H602" s="18">
        <f t="shared" ca="1" si="36"/>
        <v>53</v>
      </c>
      <c r="I602" s="18">
        <f t="shared" ca="1" si="37"/>
        <v>177</v>
      </c>
      <c r="J602" s="15">
        <f ca="1">K602-L602</f>
        <v>494</v>
      </c>
      <c r="K602" s="15">
        <v>559</v>
      </c>
      <c r="L602" s="15">
        <f ca="1">RANDBETWEEN(30,87)</f>
        <v>65</v>
      </c>
      <c r="M602" s="11">
        <f ca="1">(L602/J602)</f>
        <v>0.13157894736842105</v>
      </c>
      <c r="N602" s="18">
        <v>78</v>
      </c>
      <c r="O602" s="18" t="str">
        <f t="shared" ca="1" si="38"/>
        <v>Understocked</v>
      </c>
      <c r="P602" s="11" t="str">
        <f ca="1">RANDBETWEEN(30,76)&amp;"%"</f>
        <v>50%</v>
      </c>
      <c r="Q602" s="18">
        <f>PRODUCT(K602,N602)</f>
        <v>43602</v>
      </c>
    </row>
    <row r="603" spans="1:17" x14ac:dyDescent="0.45">
      <c r="A603" s="6" t="s">
        <v>811</v>
      </c>
      <c r="B603" s="9" t="s">
        <v>804</v>
      </c>
      <c r="C603" s="6" t="s">
        <v>45</v>
      </c>
      <c r="D603" s="18">
        <f ca="1">RANDBETWEEN(500,1000)</f>
        <v>568</v>
      </c>
      <c r="E603" s="19">
        <v>45591</v>
      </c>
      <c r="F603" s="18">
        <v>66</v>
      </c>
      <c r="G603" s="20">
        <v>0.63</v>
      </c>
      <c r="H603" s="18">
        <f t="shared" ca="1" si="36"/>
        <v>73</v>
      </c>
      <c r="I603" s="18">
        <f t="shared" ca="1" si="37"/>
        <v>151</v>
      </c>
      <c r="J603" s="15">
        <f ca="1">K603-L603</f>
        <v>429</v>
      </c>
      <c r="K603" s="15">
        <v>516</v>
      </c>
      <c r="L603" s="15">
        <f ca="1">RANDBETWEEN(30,87)</f>
        <v>87</v>
      </c>
      <c r="M603" s="11">
        <f ca="1">(L603/J603)</f>
        <v>0.20279720279720279</v>
      </c>
      <c r="N603" s="18">
        <v>85</v>
      </c>
      <c r="O603" s="18" t="str">
        <f t="shared" ca="1" si="38"/>
        <v>Understocked</v>
      </c>
      <c r="P603" s="11" t="str">
        <f ca="1">RANDBETWEEN(30,76)&amp;"%"</f>
        <v>68%</v>
      </c>
      <c r="Q603" s="18">
        <f>PRODUCT(K603,N603)</f>
        <v>43860</v>
      </c>
    </row>
    <row r="604" spans="1:17" x14ac:dyDescent="0.45">
      <c r="A604" s="6" t="s">
        <v>813</v>
      </c>
      <c r="B604" s="9" t="s">
        <v>804</v>
      </c>
      <c r="C604" s="6" t="s">
        <v>45</v>
      </c>
      <c r="D604" s="18">
        <f ca="1">RANDBETWEEN(500,1000)</f>
        <v>760</v>
      </c>
      <c r="E604" s="19">
        <v>45612</v>
      </c>
      <c r="F604" s="18">
        <v>62</v>
      </c>
      <c r="G604" s="20">
        <v>0.5</v>
      </c>
      <c r="H604" s="18">
        <f t="shared" ca="1" si="36"/>
        <v>67</v>
      </c>
      <c r="I604" s="18">
        <f t="shared" ca="1" si="37"/>
        <v>92</v>
      </c>
      <c r="J604" s="15">
        <f ca="1">K604-L604</f>
        <v>132</v>
      </c>
      <c r="K604" s="15">
        <v>215</v>
      </c>
      <c r="L604" s="15">
        <f ca="1">RANDBETWEEN(30,87)</f>
        <v>83</v>
      </c>
      <c r="M604" s="11">
        <f ca="1">(L604/J604)</f>
        <v>0.62878787878787878</v>
      </c>
      <c r="N604" s="18">
        <v>45</v>
      </c>
      <c r="O604" s="18" t="str">
        <f t="shared" ca="1" si="38"/>
        <v>Understocked</v>
      </c>
      <c r="P604" s="11" t="str">
        <f ca="1">RANDBETWEEN(30,76)&amp;"%"</f>
        <v>30%</v>
      </c>
      <c r="Q604" s="18">
        <f>PRODUCT(K604,N604)</f>
        <v>9675</v>
      </c>
    </row>
    <row r="605" spans="1:17" x14ac:dyDescent="0.45">
      <c r="A605" s="6" t="s">
        <v>815</v>
      </c>
      <c r="B605" s="9" t="s">
        <v>804</v>
      </c>
      <c r="C605" s="6" t="s">
        <v>45</v>
      </c>
      <c r="D605" s="18">
        <f ca="1">RANDBETWEEN(500,1000)</f>
        <v>939</v>
      </c>
      <c r="E605" s="19">
        <v>45639</v>
      </c>
      <c r="F605" s="18">
        <v>14</v>
      </c>
      <c r="G605" s="20">
        <v>0.75</v>
      </c>
      <c r="H605" s="18">
        <f t="shared" ca="1" si="36"/>
        <v>70</v>
      </c>
      <c r="I605" s="18">
        <f t="shared" ca="1" si="37"/>
        <v>157</v>
      </c>
      <c r="J605" s="15">
        <f ca="1">K605-L605</f>
        <v>489</v>
      </c>
      <c r="K605" s="15">
        <v>559</v>
      </c>
      <c r="L605" s="15">
        <f ca="1">RANDBETWEEN(30,87)</f>
        <v>70</v>
      </c>
      <c r="M605" s="11">
        <f ca="1">(L605/J605)</f>
        <v>0.14314928425357873</v>
      </c>
      <c r="N605" s="18">
        <v>86</v>
      </c>
      <c r="O605" s="18" t="str">
        <f t="shared" ca="1" si="38"/>
        <v>Understocked</v>
      </c>
      <c r="P605" s="11" t="str">
        <f ca="1">RANDBETWEEN(30,76)&amp;"%"</f>
        <v>63%</v>
      </c>
      <c r="Q605" s="18">
        <f>PRODUCT(K605,N605)</f>
        <v>48074</v>
      </c>
    </row>
    <row r="606" spans="1:17" x14ac:dyDescent="0.45">
      <c r="A606" s="6" t="s">
        <v>816</v>
      </c>
      <c r="B606" s="9" t="s">
        <v>804</v>
      </c>
      <c r="C606" s="6" t="s">
        <v>45</v>
      </c>
      <c r="D606" s="18">
        <f ca="1">RANDBETWEEN(500,1000)</f>
        <v>872</v>
      </c>
      <c r="E606" s="19">
        <v>45458</v>
      </c>
      <c r="F606" s="18">
        <v>65</v>
      </c>
      <c r="G606" s="20">
        <v>0.72</v>
      </c>
      <c r="H606" s="18">
        <f t="shared" ca="1" si="36"/>
        <v>69</v>
      </c>
      <c r="I606" s="18">
        <f t="shared" ca="1" si="37"/>
        <v>194</v>
      </c>
      <c r="J606" s="15">
        <f ca="1">K606-L606</f>
        <v>87</v>
      </c>
      <c r="K606" s="15">
        <v>129</v>
      </c>
      <c r="L606" s="15">
        <f ca="1">RANDBETWEEN(30,87)</f>
        <v>42</v>
      </c>
      <c r="M606" s="11">
        <f ca="1">(L606/J606)</f>
        <v>0.48275862068965519</v>
      </c>
      <c r="N606" s="18">
        <v>80</v>
      </c>
      <c r="O606" s="18" t="str">
        <f t="shared" ca="1" si="38"/>
        <v>Understocked</v>
      </c>
      <c r="P606" s="11" t="str">
        <f ca="1">RANDBETWEEN(30,76)&amp;"%"</f>
        <v>50%</v>
      </c>
      <c r="Q606" s="18">
        <f>PRODUCT(K606,N606)</f>
        <v>10320</v>
      </c>
    </row>
    <row r="607" spans="1:17" x14ac:dyDescent="0.45">
      <c r="A607" s="6" t="s">
        <v>817</v>
      </c>
      <c r="B607" s="9" t="s">
        <v>804</v>
      </c>
      <c r="C607" s="6" t="s">
        <v>45</v>
      </c>
      <c r="D607" s="18">
        <f ca="1">RANDBETWEEN(500,1000)</f>
        <v>960</v>
      </c>
      <c r="E607" s="19">
        <v>45531</v>
      </c>
      <c r="F607" s="18">
        <v>22</v>
      </c>
      <c r="G607" s="20">
        <v>0.81</v>
      </c>
      <c r="H607" s="18">
        <f t="shared" ca="1" si="36"/>
        <v>53</v>
      </c>
      <c r="I607" s="18">
        <f t="shared" ca="1" si="37"/>
        <v>71</v>
      </c>
      <c r="J607" s="15">
        <f ca="1">K607-L607</f>
        <v>371</v>
      </c>
      <c r="K607" s="15">
        <v>430</v>
      </c>
      <c r="L607" s="15">
        <f ca="1">RANDBETWEEN(30,87)</f>
        <v>59</v>
      </c>
      <c r="M607" s="11">
        <f ca="1">(L607/J607)</f>
        <v>0.15902964959568733</v>
      </c>
      <c r="N607" s="18">
        <v>41</v>
      </c>
      <c r="O607" s="18" t="str">
        <f t="shared" ca="1" si="38"/>
        <v>Understocked</v>
      </c>
      <c r="P607" s="11" t="str">
        <f ca="1">RANDBETWEEN(30,76)&amp;"%"</f>
        <v>59%</v>
      </c>
      <c r="Q607" s="18">
        <f>PRODUCT(K607,N607)</f>
        <v>17630</v>
      </c>
    </row>
    <row r="608" spans="1:17" x14ac:dyDescent="0.45">
      <c r="A608" s="6" t="s">
        <v>819</v>
      </c>
      <c r="B608" s="9" t="s">
        <v>820</v>
      </c>
      <c r="C608" s="6" t="s">
        <v>45</v>
      </c>
      <c r="D608" s="18">
        <f ca="1">RANDBETWEEN(500,1000)</f>
        <v>932</v>
      </c>
      <c r="E608" s="19">
        <v>45351</v>
      </c>
      <c r="F608" s="18">
        <v>26</v>
      </c>
      <c r="G608" s="20">
        <v>0.78</v>
      </c>
      <c r="H608" s="18">
        <f t="shared" ca="1" si="36"/>
        <v>79</v>
      </c>
      <c r="I608" s="18">
        <f t="shared" ca="1" si="37"/>
        <v>93</v>
      </c>
      <c r="J608" s="15">
        <f ca="1">K608-L608</f>
        <v>555</v>
      </c>
      <c r="K608" s="15">
        <v>602</v>
      </c>
      <c r="L608" s="15">
        <f ca="1">RANDBETWEEN(30,87)</f>
        <v>47</v>
      </c>
      <c r="M608" s="11">
        <f ca="1">(L608/J608)</f>
        <v>8.468468468468468E-2</v>
      </c>
      <c r="N608" s="18">
        <v>84</v>
      </c>
      <c r="O608" s="18" t="str">
        <f t="shared" ca="1" si="38"/>
        <v>Understocked</v>
      </c>
      <c r="P608" s="11" t="str">
        <f ca="1">RANDBETWEEN(30,76)&amp;"%"</f>
        <v>40%</v>
      </c>
      <c r="Q608" s="18">
        <f>PRODUCT(K608,N608)</f>
        <v>50568</v>
      </c>
    </row>
    <row r="609" spans="1:17" x14ac:dyDescent="0.45">
      <c r="A609" s="6" t="s">
        <v>821</v>
      </c>
      <c r="B609" s="9" t="s">
        <v>820</v>
      </c>
      <c r="C609" s="6" t="s">
        <v>45</v>
      </c>
      <c r="D609" s="18">
        <f ca="1">RANDBETWEEN(500,1000)</f>
        <v>656</v>
      </c>
      <c r="E609" s="19">
        <v>45357</v>
      </c>
      <c r="F609" s="18">
        <v>42</v>
      </c>
      <c r="G609" s="20">
        <v>0.36</v>
      </c>
      <c r="H609" s="18">
        <f t="shared" ca="1" si="36"/>
        <v>72</v>
      </c>
      <c r="I609" s="18">
        <f t="shared" ca="1" si="37"/>
        <v>123</v>
      </c>
      <c r="J609" s="15">
        <f ca="1">K609-L609</f>
        <v>218</v>
      </c>
      <c r="K609" s="15">
        <v>258</v>
      </c>
      <c r="L609" s="15">
        <f ca="1">RANDBETWEEN(30,87)</f>
        <v>40</v>
      </c>
      <c r="M609" s="11">
        <f ca="1">(L609/J609)</f>
        <v>0.1834862385321101</v>
      </c>
      <c r="N609" s="18">
        <v>43</v>
      </c>
      <c r="O609" s="18" t="str">
        <f t="shared" ca="1" si="38"/>
        <v>Understocked</v>
      </c>
      <c r="P609" s="11" t="str">
        <f ca="1">RANDBETWEEN(30,76)&amp;"%"</f>
        <v>61%</v>
      </c>
      <c r="Q609" s="18">
        <f>PRODUCT(K609,N609)</f>
        <v>11094</v>
      </c>
    </row>
    <row r="610" spans="1:17" x14ac:dyDescent="0.45">
      <c r="A610" s="6" t="s">
        <v>822</v>
      </c>
      <c r="B610" s="9" t="s">
        <v>820</v>
      </c>
      <c r="C610" s="6" t="s">
        <v>45</v>
      </c>
      <c r="D610" s="18">
        <f ca="1">RANDBETWEEN(500,1000)</f>
        <v>571</v>
      </c>
      <c r="E610" s="19">
        <v>45691</v>
      </c>
      <c r="F610" s="18">
        <v>72</v>
      </c>
      <c r="G610" s="20">
        <v>0.79</v>
      </c>
      <c r="H610" s="18">
        <f t="shared" ca="1" si="36"/>
        <v>75</v>
      </c>
      <c r="I610" s="18">
        <f t="shared" ca="1" si="37"/>
        <v>195</v>
      </c>
      <c r="J610" s="15">
        <f ca="1">K610-L610</f>
        <v>128</v>
      </c>
      <c r="K610" s="15">
        <v>215</v>
      </c>
      <c r="L610" s="15">
        <f ca="1">RANDBETWEEN(30,87)</f>
        <v>87</v>
      </c>
      <c r="M610" s="11">
        <f ca="1">(L610/J610)</f>
        <v>0.6796875</v>
      </c>
      <c r="N610" s="18">
        <v>96</v>
      </c>
      <c r="O610" s="18" t="str">
        <f t="shared" ca="1" si="38"/>
        <v>Understocked</v>
      </c>
      <c r="P610" s="11" t="str">
        <f ca="1">RANDBETWEEN(30,76)&amp;"%"</f>
        <v>36%</v>
      </c>
      <c r="Q610" s="18">
        <f>PRODUCT(K610,N610)</f>
        <v>20640</v>
      </c>
    </row>
    <row r="611" spans="1:17" x14ac:dyDescent="0.45">
      <c r="A611" s="6" t="s">
        <v>823</v>
      </c>
      <c r="B611" s="9" t="s">
        <v>820</v>
      </c>
      <c r="C611" s="6" t="s">
        <v>45</v>
      </c>
      <c r="D611" s="18">
        <f ca="1">RANDBETWEEN(500,1000)</f>
        <v>634</v>
      </c>
      <c r="E611" s="19">
        <v>45502</v>
      </c>
      <c r="F611" s="18">
        <v>28</v>
      </c>
      <c r="G611" s="20">
        <v>0.35</v>
      </c>
      <c r="H611" s="18">
        <f t="shared" ca="1" si="36"/>
        <v>54</v>
      </c>
      <c r="I611" s="18">
        <f t="shared" ca="1" si="37"/>
        <v>191</v>
      </c>
      <c r="J611" s="15">
        <f ca="1">K611-L611</f>
        <v>310</v>
      </c>
      <c r="K611" s="15">
        <v>344</v>
      </c>
      <c r="L611" s="15">
        <f ca="1">RANDBETWEEN(30,87)</f>
        <v>34</v>
      </c>
      <c r="M611" s="11">
        <f ca="1">(L611/J611)</f>
        <v>0.10967741935483871</v>
      </c>
      <c r="N611" s="18">
        <v>30</v>
      </c>
      <c r="O611" s="18" t="str">
        <f t="shared" ca="1" si="38"/>
        <v>Understocked</v>
      </c>
      <c r="P611" s="11" t="str">
        <f ca="1">RANDBETWEEN(30,76)&amp;"%"</f>
        <v>54%</v>
      </c>
      <c r="Q611" s="18">
        <f>PRODUCT(K611,N611)</f>
        <v>10320</v>
      </c>
    </row>
    <row r="612" spans="1:17" x14ac:dyDescent="0.45">
      <c r="A612" s="6" t="s">
        <v>824</v>
      </c>
      <c r="B612" s="9" t="s">
        <v>820</v>
      </c>
      <c r="C612" s="6" t="s">
        <v>45</v>
      </c>
      <c r="D612" s="18">
        <f ca="1">RANDBETWEEN(500,1000)</f>
        <v>737</v>
      </c>
      <c r="E612" s="19">
        <v>45377</v>
      </c>
      <c r="F612" s="18">
        <v>26</v>
      </c>
      <c r="G612" s="20">
        <v>0.66</v>
      </c>
      <c r="H612" s="18">
        <f t="shared" ca="1" si="36"/>
        <v>56</v>
      </c>
      <c r="I612" s="18">
        <f t="shared" ca="1" si="37"/>
        <v>160</v>
      </c>
      <c r="J612" s="15">
        <f ca="1">K612-L612</f>
        <v>235</v>
      </c>
      <c r="K612" s="15">
        <v>301</v>
      </c>
      <c r="L612" s="15">
        <f ca="1">RANDBETWEEN(30,87)</f>
        <v>66</v>
      </c>
      <c r="M612" s="11">
        <f ca="1">(L612/J612)</f>
        <v>0.28085106382978725</v>
      </c>
      <c r="N612" s="18">
        <v>64</v>
      </c>
      <c r="O612" s="18" t="str">
        <f t="shared" ca="1" si="38"/>
        <v>Understocked</v>
      </c>
      <c r="P612" s="11" t="str">
        <f ca="1">RANDBETWEEN(30,76)&amp;"%"</f>
        <v>44%</v>
      </c>
      <c r="Q612" s="18">
        <f>PRODUCT(K612,N612)</f>
        <v>19264</v>
      </c>
    </row>
    <row r="613" spans="1:17" x14ac:dyDescent="0.45">
      <c r="A613" s="6" t="s">
        <v>934</v>
      </c>
      <c r="B613" s="9" t="s">
        <v>935</v>
      </c>
      <c r="C613" s="6" t="s">
        <v>45</v>
      </c>
      <c r="D613" s="18">
        <f ca="1">RANDBETWEEN(500,1000)</f>
        <v>894</v>
      </c>
      <c r="E613" s="19">
        <v>45654</v>
      </c>
      <c r="F613" s="18">
        <v>88</v>
      </c>
      <c r="G613" s="20">
        <v>0.65</v>
      </c>
      <c r="H613" s="18">
        <f t="shared" ca="1" si="36"/>
        <v>64</v>
      </c>
      <c r="I613" s="18">
        <f t="shared" ca="1" si="37"/>
        <v>146</v>
      </c>
      <c r="J613" s="15">
        <f ca="1">K613-L613</f>
        <v>607</v>
      </c>
      <c r="K613" s="15">
        <v>688</v>
      </c>
      <c r="L613" s="15">
        <f ca="1">RANDBETWEEN(30,87)</f>
        <v>81</v>
      </c>
      <c r="M613" s="11">
        <f ca="1">(L613/J613)</f>
        <v>0.13344316309719934</v>
      </c>
      <c r="N613" s="18">
        <v>58</v>
      </c>
      <c r="O613" s="18" t="str">
        <f t="shared" ca="1" si="38"/>
        <v>Optimal</v>
      </c>
      <c r="P613" s="11" t="str">
        <f ca="1">RANDBETWEEN(30,76)&amp;"%"</f>
        <v>76%</v>
      </c>
      <c r="Q613" s="18">
        <f>PRODUCT(K613,N613)</f>
        <v>39904</v>
      </c>
    </row>
    <row r="614" spans="1:17" x14ac:dyDescent="0.45">
      <c r="A614" s="6" t="s">
        <v>936</v>
      </c>
      <c r="B614" s="9" t="s">
        <v>935</v>
      </c>
      <c r="C614" s="6" t="s">
        <v>45</v>
      </c>
      <c r="D614" s="18">
        <f ca="1">RANDBETWEEN(500,1000)</f>
        <v>801</v>
      </c>
      <c r="E614" s="19">
        <v>45440</v>
      </c>
      <c r="F614" s="18">
        <v>72</v>
      </c>
      <c r="G614" s="20">
        <v>0.36</v>
      </c>
      <c r="H614" s="18">
        <f t="shared" ca="1" si="36"/>
        <v>50</v>
      </c>
      <c r="I614" s="18">
        <f t="shared" ca="1" si="37"/>
        <v>170</v>
      </c>
      <c r="J614" s="15">
        <f ca="1">K614-L614</f>
        <v>1655</v>
      </c>
      <c r="K614" s="15">
        <v>1720</v>
      </c>
      <c r="L614" s="15">
        <f ca="1">RANDBETWEEN(30,87)</f>
        <v>65</v>
      </c>
      <c r="M614" s="11">
        <f ca="1">(L614/J614)</f>
        <v>3.9274924471299093E-2</v>
      </c>
      <c r="N614" s="18">
        <v>82</v>
      </c>
      <c r="O614" s="18" t="str">
        <f t="shared" ca="1" si="38"/>
        <v>Optimal</v>
      </c>
      <c r="P614" s="11" t="str">
        <f ca="1">RANDBETWEEN(30,76)&amp;"%"</f>
        <v>45%</v>
      </c>
      <c r="Q614" s="18">
        <f>PRODUCT(K614,N614)</f>
        <v>141040</v>
      </c>
    </row>
    <row r="615" spans="1:17" x14ac:dyDescent="0.45">
      <c r="A615" s="6" t="s">
        <v>937</v>
      </c>
      <c r="B615" s="9" t="s">
        <v>935</v>
      </c>
      <c r="C615" s="6" t="s">
        <v>45</v>
      </c>
      <c r="D615" s="18">
        <f ca="1">RANDBETWEEN(500,1000)</f>
        <v>611</v>
      </c>
      <c r="E615" s="19">
        <v>45500</v>
      </c>
      <c r="F615" s="18">
        <v>45</v>
      </c>
      <c r="G615" s="20">
        <v>0.79</v>
      </c>
      <c r="H615" s="18">
        <f t="shared" ca="1" si="36"/>
        <v>72</v>
      </c>
      <c r="I615" s="18">
        <f t="shared" ca="1" si="37"/>
        <v>95</v>
      </c>
      <c r="J615" s="15">
        <f ca="1">K615-L615</f>
        <v>449</v>
      </c>
      <c r="K615" s="15">
        <v>516</v>
      </c>
      <c r="L615" s="15">
        <f ca="1">RANDBETWEEN(30,87)</f>
        <v>67</v>
      </c>
      <c r="M615" s="11">
        <f ca="1">(L615/J615)</f>
        <v>0.1492204899777283</v>
      </c>
      <c r="N615" s="18">
        <v>25</v>
      </c>
      <c r="O615" s="18" t="str">
        <f t="shared" ca="1" si="38"/>
        <v>Understocked</v>
      </c>
      <c r="P615" s="11" t="str">
        <f ca="1">RANDBETWEEN(30,76)&amp;"%"</f>
        <v>72%</v>
      </c>
      <c r="Q615" s="18">
        <f>PRODUCT(K615,N615)</f>
        <v>12900</v>
      </c>
    </row>
    <row r="616" spans="1:17" x14ac:dyDescent="0.45">
      <c r="A616" s="6" t="s">
        <v>938</v>
      </c>
      <c r="B616" s="9" t="s">
        <v>935</v>
      </c>
      <c r="C616" s="6" t="s">
        <v>45</v>
      </c>
      <c r="D616" s="18">
        <f ca="1">RANDBETWEEN(500,1000)</f>
        <v>662</v>
      </c>
      <c r="E616" s="19">
        <v>45548</v>
      </c>
      <c r="F616" s="18">
        <v>41</v>
      </c>
      <c r="G616" s="20">
        <v>0.73</v>
      </c>
      <c r="H616" s="18">
        <f t="shared" ca="1" si="36"/>
        <v>79</v>
      </c>
      <c r="I616" s="18">
        <f t="shared" ca="1" si="37"/>
        <v>76</v>
      </c>
      <c r="J616" s="15">
        <f ca="1">K616-L616</f>
        <v>120.79999999999998</v>
      </c>
      <c r="K616" s="15">
        <v>197.79999999999998</v>
      </c>
      <c r="L616" s="15">
        <f ca="1">RANDBETWEEN(30,87)</f>
        <v>77</v>
      </c>
      <c r="M616" s="11">
        <f ca="1">(L616/J616)</f>
        <v>0.63741721854304645</v>
      </c>
      <c r="N616" s="18">
        <v>59</v>
      </c>
      <c r="O616" s="18" t="str">
        <f t="shared" ca="1" si="38"/>
        <v>Understocked</v>
      </c>
      <c r="P616" s="11" t="str">
        <f ca="1">RANDBETWEEN(30,76)&amp;"%"</f>
        <v>71%</v>
      </c>
      <c r="Q616" s="18">
        <f>PRODUCT(K616,N616)</f>
        <v>11670.199999999999</v>
      </c>
    </row>
    <row r="617" spans="1:17" x14ac:dyDescent="0.45">
      <c r="A617" s="6" t="s">
        <v>939</v>
      </c>
      <c r="B617" s="9" t="s">
        <v>935</v>
      </c>
      <c r="C617" s="6" t="s">
        <v>45</v>
      </c>
      <c r="D617" s="18">
        <f ca="1">RANDBETWEEN(500,1000)</f>
        <v>785</v>
      </c>
      <c r="E617" s="19">
        <v>45645</v>
      </c>
      <c r="F617" s="18">
        <v>23</v>
      </c>
      <c r="G617" s="20">
        <v>0.4</v>
      </c>
      <c r="H617" s="18">
        <f t="shared" ca="1" si="36"/>
        <v>76</v>
      </c>
      <c r="I617" s="18">
        <f t="shared" ca="1" si="37"/>
        <v>172</v>
      </c>
      <c r="J617" s="15">
        <f ca="1">K617-L617</f>
        <v>2101</v>
      </c>
      <c r="K617" s="15">
        <v>2150</v>
      </c>
      <c r="L617" s="15">
        <f ca="1">RANDBETWEEN(30,87)</f>
        <v>49</v>
      </c>
      <c r="M617" s="11">
        <f ca="1">(L617/J617)</f>
        <v>2.3322227510709188E-2</v>
      </c>
      <c r="N617" s="18">
        <v>95</v>
      </c>
      <c r="O617" s="18" t="str">
        <f t="shared" ca="1" si="38"/>
        <v>Understocked</v>
      </c>
      <c r="P617" s="11" t="str">
        <f ca="1">RANDBETWEEN(30,76)&amp;"%"</f>
        <v>62%</v>
      </c>
      <c r="Q617" s="18">
        <f>PRODUCT(K617,N617)</f>
        <v>204250</v>
      </c>
    </row>
    <row r="618" spans="1:17" x14ac:dyDescent="0.45">
      <c r="A618" s="6" t="s">
        <v>940</v>
      </c>
      <c r="B618" s="9" t="s">
        <v>935</v>
      </c>
      <c r="C618" s="6" t="s">
        <v>45</v>
      </c>
      <c r="D618" s="18">
        <f ca="1">RANDBETWEEN(500,1000)</f>
        <v>754</v>
      </c>
      <c r="E618" s="19">
        <v>45419</v>
      </c>
      <c r="F618" s="18">
        <v>61</v>
      </c>
      <c r="G618" s="20">
        <v>0.39</v>
      </c>
      <c r="H618" s="18">
        <f t="shared" ca="1" si="36"/>
        <v>70</v>
      </c>
      <c r="I618" s="18">
        <f t="shared" ca="1" si="37"/>
        <v>129</v>
      </c>
      <c r="J618" s="15">
        <f ca="1">K618-L618</f>
        <v>345</v>
      </c>
      <c r="K618" s="15">
        <v>430</v>
      </c>
      <c r="L618" s="15">
        <f ca="1">RANDBETWEEN(30,87)</f>
        <v>85</v>
      </c>
      <c r="M618" s="11">
        <f ca="1">(L618/J618)</f>
        <v>0.24637681159420291</v>
      </c>
      <c r="N618" s="18">
        <v>31</v>
      </c>
      <c r="O618" s="18" t="str">
        <f t="shared" ca="1" si="38"/>
        <v>Understocked</v>
      </c>
      <c r="P618" s="11" t="str">
        <f ca="1">RANDBETWEEN(30,76)&amp;"%"</f>
        <v>38%</v>
      </c>
      <c r="Q618" s="18">
        <f>PRODUCT(K618,N618)</f>
        <v>13330</v>
      </c>
    </row>
    <row r="619" spans="1:17" x14ac:dyDescent="0.45">
      <c r="A619" s="6" t="s">
        <v>941</v>
      </c>
      <c r="B619" s="9" t="s">
        <v>942</v>
      </c>
      <c r="C619" s="6" t="s">
        <v>45</v>
      </c>
      <c r="D619" s="18">
        <f ca="1">RANDBETWEEN(500,1000)</f>
        <v>821</v>
      </c>
      <c r="E619" s="19">
        <v>45473</v>
      </c>
      <c r="F619" s="18">
        <v>58</v>
      </c>
      <c r="G619" s="20">
        <v>0.74</v>
      </c>
      <c r="H619" s="18">
        <f t="shared" ca="1" si="36"/>
        <v>78</v>
      </c>
      <c r="I619" s="18">
        <f t="shared" ca="1" si="37"/>
        <v>171</v>
      </c>
      <c r="J619" s="15">
        <f ca="1">K619-L619</f>
        <v>109</v>
      </c>
      <c r="K619" s="15">
        <v>172</v>
      </c>
      <c r="L619" s="15">
        <f ca="1">RANDBETWEEN(30,87)</f>
        <v>63</v>
      </c>
      <c r="M619" s="11">
        <f ca="1">(L619/J619)</f>
        <v>0.57798165137614677</v>
      </c>
      <c r="N619" s="18">
        <v>52</v>
      </c>
      <c r="O619" s="18" t="str">
        <f t="shared" ca="1" si="38"/>
        <v>Understocked</v>
      </c>
      <c r="P619" s="11" t="str">
        <f ca="1">RANDBETWEEN(30,76)&amp;"%"</f>
        <v>40%</v>
      </c>
      <c r="Q619" s="18">
        <f>PRODUCT(K619,N619)</f>
        <v>8944</v>
      </c>
    </row>
    <row r="620" spans="1:17" x14ac:dyDescent="0.45">
      <c r="A620" s="6" t="s">
        <v>943</v>
      </c>
      <c r="B620" s="9" t="s">
        <v>942</v>
      </c>
      <c r="C620" s="6" t="s">
        <v>45</v>
      </c>
      <c r="D620" s="18">
        <f ca="1">RANDBETWEEN(500,1000)</f>
        <v>776</v>
      </c>
      <c r="E620" s="19">
        <v>45473</v>
      </c>
      <c r="F620" s="18">
        <v>54</v>
      </c>
      <c r="G620" s="20">
        <v>0.59</v>
      </c>
      <c r="H620" s="18">
        <f t="shared" ca="1" si="36"/>
        <v>56</v>
      </c>
      <c r="I620" s="18">
        <f t="shared" ca="1" si="37"/>
        <v>113</v>
      </c>
      <c r="J620" s="15">
        <f ca="1">K620-L620</f>
        <v>327</v>
      </c>
      <c r="K620" s="15">
        <v>387</v>
      </c>
      <c r="L620" s="15">
        <f ca="1">RANDBETWEEN(30,87)</f>
        <v>60</v>
      </c>
      <c r="M620" s="11">
        <f ca="1">(L620/J620)</f>
        <v>0.1834862385321101</v>
      </c>
      <c r="N620" s="18">
        <v>63</v>
      </c>
      <c r="O620" s="18" t="str">
        <f t="shared" ca="1" si="38"/>
        <v>Understocked</v>
      </c>
      <c r="P620" s="11" t="str">
        <f ca="1">RANDBETWEEN(30,76)&amp;"%"</f>
        <v>58%</v>
      </c>
      <c r="Q620" s="18">
        <f>PRODUCT(K620,N620)</f>
        <v>24381</v>
      </c>
    </row>
    <row r="621" spans="1:17" x14ac:dyDescent="0.45">
      <c r="A621" s="6" t="s">
        <v>944</v>
      </c>
      <c r="B621" s="9" t="s">
        <v>942</v>
      </c>
      <c r="C621" s="6" t="s">
        <v>45</v>
      </c>
      <c r="D621" s="18">
        <f ca="1">RANDBETWEEN(500,1000)</f>
        <v>711</v>
      </c>
      <c r="E621" s="19">
        <v>45697</v>
      </c>
      <c r="F621" s="18">
        <v>16</v>
      </c>
      <c r="G621" s="20">
        <v>0.73</v>
      </c>
      <c r="H621" s="18">
        <f t="shared" ca="1" si="36"/>
        <v>60</v>
      </c>
      <c r="I621" s="18">
        <f t="shared" ca="1" si="37"/>
        <v>148</v>
      </c>
      <c r="J621" s="15">
        <f ca="1">K621-L621</f>
        <v>998</v>
      </c>
      <c r="K621" s="15">
        <v>1075</v>
      </c>
      <c r="L621" s="15">
        <f ca="1">RANDBETWEEN(30,87)</f>
        <v>77</v>
      </c>
      <c r="M621" s="11">
        <f ca="1">(L621/J621)</f>
        <v>7.7154308617234463E-2</v>
      </c>
      <c r="N621" s="18">
        <v>50</v>
      </c>
      <c r="O621" s="18" t="str">
        <f t="shared" ca="1" si="38"/>
        <v>Understocked</v>
      </c>
      <c r="P621" s="11" t="str">
        <f ca="1">RANDBETWEEN(30,76)&amp;"%"</f>
        <v>38%</v>
      </c>
      <c r="Q621" s="18">
        <f>PRODUCT(K621,N621)</f>
        <v>53750</v>
      </c>
    </row>
    <row r="622" spans="1:17" x14ac:dyDescent="0.45">
      <c r="A622" s="6" t="s">
        <v>945</v>
      </c>
      <c r="B622" s="9" t="s">
        <v>942</v>
      </c>
      <c r="C622" s="6" t="s">
        <v>45</v>
      </c>
      <c r="D622" s="18">
        <f ca="1">RANDBETWEEN(500,1000)</f>
        <v>657</v>
      </c>
      <c r="E622" s="19">
        <v>45633</v>
      </c>
      <c r="F622" s="18">
        <v>31</v>
      </c>
      <c r="G622" s="20">
        <v>0.85</v>
      </c>
      <c r="H622" s="18">
        <f t="shared" ca="1" si="36"/>
        <v>55</v>
      </c>
      <c r="I622" s="18">
        <f t="shared" ca="1" si="37"/>
        <v>158</v>
      </c>
      <c r="J622" s="15">
        <f ca="1">K622-L622</f>
        <v>561</v>
      </c>
      <c r="K622" s="15">
        <v>602</v>
      </c>
      <c r="L622" s="15">
        <f ca="1">RANDBETWEEN(30,87)</f>
        <v>41</v>
      </c>
      <c r="M622" s="11">
        <f ca="1">(L622/J622)</f>
        <v>7.3083778966131913E-2</v>
      </c>
      <c r="N622" s="18">
        <v>46</v>
      </c>
      <c r="O622" s="18" t="str">
        <f t="shared" ca="1" si="38"/>
        <v>Understocked</v>
      </c>
      <c r="P622" s="11" t="str">
        <f ca="1">RANDBETWEEN(30,76)&amp;"%"</f>
        <v>74%</v>
      </c>
      <c r="Q622" s="18">
        <f>PRODUCT(K622,N622)</f>
        <v>27692</v>
      </c>
    </row>
    <row r="623" spans="1:17" x14ac:dyDescent="0.45">
      <c r="A623" s="6" t="s">
        <v>947</v>
      </c>
      <c r="B623" s="9" t="s">
        <v>942</v>
      </c>
      <c r="C623" s="6" t="s">
        <v>45</v>
      </c>
      <c r="D623" s="18">
        <f ca="1">RANDBETWEEN(500,1000)</f>
        <v>815</v>
      </c>
      <c r="E623" s="19">
        <v>45463</v>
      </c>
      <c r="F623" s="18">
        <v>94</v>
      </c>
      <c r="G623" s="20">
        <v>0.46</v>
      </c>
      <c r="H623" s="18">
        <f t="shared" ca="1" si="36"/>
        <v>69</v>
      </c>
      <c r="I623" s="18">
        <f t="shared" ca="1" si="37"/>
        <v>155</v>
      </c>
      <c r="J623" s="15">
        <f ca="1">K623-L623</f>
        <v>352</v>
      </c>
      <c r="K623" s="15">
        <v>430</v>
      </c>
      <c r="L623" s="15">
        <f ca="1">RANDBETWEEN(30,87)</f>
        <v>78</v>
      </c>
      <c r="M623" s="11">
        <f ca="1">(L623/J623)</f>
        <v>0.22159090909090909</v>
      </c>
      <c r="N623" s="18">
        <v>40</v>
      </c>
      <c r="O623" s="18" t="str">
        <f t="shared" ca="1" si="38"/>
        <v>Optimal</v>
      </c>
      <c r="P623" s="11" t="str">
        <f ca="1">RANDBETWEEN(30,76)&amp;"%"</f>
        <v>43%</v>
      </c>
      <c r="Q623" s="18">
        <f>PRODUCT(K623,N623)</f>
        <v>17200</v>
      </c>
    </row>
    <row r="624" spans="1:17" x14ac:dyDescent="0.45">
      <c r="A624" s="6" t="s">
        <v>966</v>
      </c>
      <c r="B624" s="9" t="s">
        <v>967</v>
      </c>
      <c r="C624" s="6" t="s">
        <v>45</v>
      </c>
      <c r="D624" s="18">
        <f ca="1">RANDBETWEEN(500,1000)</f>
        <v>952</v>
      </c>
      <c r="E624" s="19">
        <v>45649</v>
      </c>
      <c r="F624" s="18">
        <v>49</v>
      </c>
      <c r="G624" s="20">
        <v>0.63</v>
      </c>
      <c r="H624" s="18">
        <f t="shared" ca="1" si="36"/>
        <v>79</v>
      </c>
      <c r="I624" s="18">
        <f t="shared" ca="1" si="37"/>
        <v>143</v>
      </c>
      <c r="J624" s="15">
        <f ca="1">K624-L624</f>
        <v>438</v>
      </c>
      <c r="K624" s="15">
        <v>516</v>
      </c>
      <c r="L624" s="15">
        <f ca="1">RANDBETWEEN(30,87)</f>
        <v>78</v>
      </c>
      <c r="M624" s="11">
        <f ca="1">(L624/J624)</f>
        <v>0.17808219178082191</v>
      </c>
      <c r="N624" s="18">
        <v>97</v>
      </c>
      <c r="O624" s="18" t="str">
        <f t="shared" ca="1" si="38"/>
        <v>Understocked</v>
      </c>
      <c r="P624" s="11" t="str">
        <f ca="1">RANDBETWEEN(30,76)&amp;"%"</f>
        <v>40%</v>
      </c>
      <c r="Q624" s="18">
        <f>PRODUCT(K624,N624)</f>
        <v>50052</v>
      </c>
    </row>
    <row r="625" spans="1:17" x14ac:dyDescent="0.45">
      <c r="A625" s="6" t="s">
        <v>968</v>
      </c>
      <c r="B625" s="9" t="s">
        <v>967</v>
      </c>
      <c r="C625" s="6" t="s">
        <v>45</v>
      </c>
      <c r="D625" s="18">
        <f ca="1">RANDBETWEEN(500,1000)</f>
        <v>749</v>
      </c>
      <c r="E625" s="19">
        <v>45458</v>
      </c>
      <c r="F625" s="18">
        <v>80</v>
      </c>
      <c r="G625" s="20">
        <v>0.61</v>
      </c>
      <c r="H625" s="18">
        <f t="shared" ca="1" si="36"/>
        <v>79</v>
      </c>
      <c r="I625" s="18">
        <f t="shared" ca="1" si="37"/>
        <v>176</v>
      </c>
      <c r="J625" s="15">
        <f ca="1">K625-L625</f>
        <v>360</v>
      </c>
      <c r="K625" s="15">
        <v>430</v>
      </c>
      <c r="L625" s="15">
        <f ca="1">RANDBETWEEN(30,87)</f>
        <v>70</v>
      </c>
      <c r="M625" s="11">
        <f ca="1">(L625/J625)</f>
        <v>0.19444444444444445</v>
      </c>
      <c r="N625" s="18">
        <v>98</v>
      </c>
      <c r="O625" s="18" t="str">
        <f t="shared" ca="1" si="38"/>
        <v>Optimal</v>
      </c>
      <c r="P625" s="11" t="str">
        <f ca="1">RANDBETWEEN(30,76)&amp;"%"</f>
        <v>76%</v>
      </c>
      <c r="Q625" s="18">
        <f>PRODUCT(K625,N625)</f>
        <v>42140</v>
      </c>
    </row>
    <row r="626" spans="1:17" x14ac:dyDescent="0.45">
      <c r="A626" s="6" t="s">
        <v>969</v>
      </c>
      <c r="B626" s="9" t="s">
        <v>967</v>
      </c>
      <c r="C626" s="6" t="s">
        <v>45</v>
      </c>
      <c r="D626" s="18">
        <f ca="1">RANDBETWEEN(500,1000)</f>
        <v>531</v>
      </c>
      <c r="E626" s="19">
        <v>45353</v>
      </c>
      <c r="F626" s="18">
        <v>95</v>
      </c>
      <c r="G626" s="20">
        <v>0.37</v>
      </c>
      <c r="H626" s="18">
        <f t="shared" ca="1" si="36"/>
        <v>57</v>
      </c>
      <c r="I626" s="18">
        <f t="shared" ca="1" si="37"/>
        <v>114</v>
      </c>
      <c r="J626" s="15">
        <f ca="1">K626-L626</f>
        <v>397</v>
      </c>
      <c r="K626" s="15">
        <v>430</v>
      </c>
      <c r="L626" s="15">
        <f ca="1">RANDBETWEEN(30,87)</f>
        <v>33</v>
      </c>
      <c r="M626" s="11">
        <f ca="1">(L626/J626)</f>
        <v>8.3123425692695208E-2</v>
      </c>
      <c r="N626" s="18">
        <v>61</v>
      </c>
      <c r="O626" s="18" t="str">
        <f t="shared" ca="1" si="38"/>
        <v>Optimal</v>
      </c>
      <c r="P626" s="11" t="str">
        <f ca="1">RANDBETWEEN(30,76)&amp;"%"</f>
        <v>69%</v>
      </c>
      <c r="Q626" s="18">
        <f>PRODUCT(K626,N626)</f>
        <v>26230</v>
      </c>
    </row>
    <row r="627" spans="1:17" x14ac:dyDescent="0.45">
      <c r="A627" s="6" t="s">
        <v>970</v>
      </c>
      <c r="B627" s="9" t="s">
        <v>967</v>
      </c>
      <c r="C627" s="6" t="s">
        <v>45</v>
      </c>
      <c r="D627" s="18">
        <f ca="1">RANDBETWEEN(500,1000)</f>
        <v>590</v>
      </c>
      <c r="E627" s="19">
        <v>45465</v>
      </c>
      <c r="F627" s="18">
        <v>44</v>
      </c>
      <c r="G627" s="20">
        <v>0.35</v>
      </c>
      <c r="H627" s="18">
        <f t="shared" ca="1" si="36"/>
        <v>54</v>
      </c>
      <c r="I627" s="18">
        <f t="shared" ca="1" si="37"/>
        <v>188</v>
      </c>
      <c r="J627" s="15">
        <f ca="1">K627-L627</f>
        <v>87</v>
      </c>
      <c r="K627" s="15">
        <v>129</v>
      </c>
      <c r="L627" s="15">
        <f ca="1">RANDBETWEEN(30,87)</f>
        <v>42</v>
      </c>
      <c r="M627" s="11">
        <f ca="1">(L627/J627)</f>
        <v>0.48275862068965519</v>
      </c>
      <c r="N627" s="18">
        <v>89</v>
      </c>
      <c r="O627" s="18" t="str">
        <f t="shared" ca="1" si="38"/>
        <v>Understocked</v>
      </c>
      <c r="P627" s="11" t="str">
        <f ca="1">RANDBETWEEN(30,76)&amp;"%"</f>
        <v>46%</v>
      </c>
      <c r="Q627" s="18">
        <f>PRODUCT(K627,N627)</f>
        <v>11481</v>
      </c>
    </row>
    <row r="628" spans="1:17" x14ac:dyDescent="0.45">
      <c r="A628" s="6" t="s">
        <v>971</v>
      </c>
      <c r="B628" s="9" t="s">
        <v>967</v>
      </c>
      <c r="C628" s="6" t="s">
        <v>45</v>
      </c>
      <c r="D628" s="18">
        <f ca="1">RANDBETWEEN(500,1000)</f>
        <v>518</v>
      </c>
      <c r="E628" s="19">
        <v>45566</v>
      </c>
      <c r="F628" s="18">
        <v>100</v>
      </c>
      <c r="G628" s="20">
        <v>0.38</v>
      </c>
      <c r="H628" s="18">
        <f t="shared" ca="1" si="36"/>
        <v>78</v>
      </c>
      <c r="I628" s="18">
        <f t="shared" ca="1" si="37"/>
        <v>72</v>
      </c>
      <c r="J628" s="15">
        <f ca="1">K628-L628</f>
        <v>118.80000000000001</v>
      </c>
      <c r="K628" s="15">
        <v>154.80000000000001</v>
      </c>
      <c r="L628" s="15">
        <f ca="1">RANDBETWEEN(30,87)</f>
        <v>36</v>
      </c>
      <c r="M628" s="11">
        <f ca="1">(L628/J628)</f>
        <v>0.30303030303030298</v>
      </c>
      <c r="N628" s="18">
        <v>98</v>
      </c>
      <c r="O628" s="18" t="str">
        <f t="shared" ca="1" si="38"/>
        <v>Optimal</v>
      </c>
      <c r="P628" s="11" t="str">
        <f ca="1">RANDBETWEEN(30,76)&amp;"%"</f>
        <v>56%</v>
      </c>
      <c r="Q628" s="18">
        <f>PRODUCT(K628,N628)</f>
        <v>15170.400000000001</v>
      </c>
    </row>
    <row r="629" spans="1:17" x14ac:dyDescent="0.45">
      <c r="A629" s="6" t="s">
        <v>972</v>
      </c>
      <c r="B629" s="9" t="s">
        <v>967</v>
      </c>
      <c r="C629" s="6" t="s">
        <v>45</v>
      </c>
      <c r="D629" s="18">
        <f ca="1">RANDBETWEEN(500,1000)</f>
        <v>958</v>
      </c>
      <c r="E629" s="19">
        <v>45700</v>
      </c>
      <c r="F629" s="18">
        <v>65</v>
      </c>
      <c r="G629" s="20">
        <v>0.3</v>
      </c>
      <c r="H629" s="18">
        <f t="shared" ca="1" si="36"/>
        <v>75</v>
      </c>
      <c r="I629" s="18">
        <f t="shared" ca="1" si="37"/>
        <v>114</v>
      </c>
      <c r="J629" s="15">
        <f ca="1">K629-L629</f>
        <v>2</v>
      </c>
      <c r="K629" s="15">
        <v>86</v>
      </c>
      <c r="L629" s="15">
        <f ca="1">RANDBETWEEN(30,87)</f>
        <v>84</v>
      </c>
      <c r="M629" s="11">
        <f ca="1">(L629/J629)</f>
        <v>42</v>
      </c>
      <c r="N629" s="18">
        <v>71</v>
      </c>
      <c r="O629" s="18" t="str">
        <f t="shared" ca="1" si="38"/>
        <v>Understocked</v>
      </c>
      <c r="P629" s="11" t="str">
        <f ca="1">RANDBETWEEN(30,76)&amp;"%"</f>
        <v>58%</v>
      </c>
      <c r="Q629" s="18">
        <f>PRODUCT(K629,N629)</f>
        <v>6106</v>
      </c>
    </row>
    <row r="630" spans="1:17" x14ac:dyDescent="0.45">
      <c r="A630" s="6" t="s">
        <v>995</v>
      </c>
      <c r="B630" s="9" t="s">
        <v>996</v>
      </c>
      <c r="C630" s="6" t="s">
        <v>45</v>
      </c>
      <c r="D630" s="18">
        <f ca="1">RANDBETWEEN(500,1000)</f>
        <v>828</v>
      </c>
      <c r="E630" s="19">
        <v>45404</v>
      </c>
      <c r="F630" s="18">
        <v>32</v>
      </c>
      <c r="G630" s="20">
        <v>0.56000000000000005</v>
      </c>
      <c r="H630" s="18">
        <f t="shared" ca="1" si="36"/>
        <v>78</v>
      </c>
      <c r="I630" s="18">
        <f t="shared" ca="1" si="37"/>
        <v>169</v>
      </c>
      <c r="J630" s="15">
        <f ca="1">K630-L630</f>
        <v>448</v>
      </c>
      <c r="K630" s="15">
        <v>516</v>
      </c>
      <c r="L630" s="15">
        <f ca="1">RANDBETWEEN(30,87)</f>
        <v>68</v>
      </c>
      <c r="M630" s="11">
        <f ca="1">(L630/J630)</f>
        <v>0.15178571428571427</v>
      </c>
      <c r="N630" s="18">
        <v>80</v>
      </c>
      <c r="O630" s="18" t="str">
        <f t="shared" ca="1" si="38"/>
        <v>Understocked</v>
      </c>
      <c r="P630" s="11" t="str">
        <f ca="1">RANDBETWEEN(30,76)&amp;"%"</f>
        <v>33%</v>
      </c>
      <c r="Q630" s="18">
        <f>PRODUCT(K630,N630)</f>
        <v>41280</v>
      </c>
    </row>
    <row r="631" spans="1:17" x14ac:dyDescent="0.45">
      <c r="A631" s="6" t="s">
        <v>997</v>
      </c>
      <c r="B631" s="9" t="s">
        <v>996</v>
      </c>
      <c r="C631" s="6" t="s">
        <v>45</v>
      </c>
      <c r="D631" s="18">
        <f ca="1">RANDBETWEEN(500,1000)</f>
        <v>748</v>
      </c>
      <c r="E631" s="19">
        <v>45667</v>
      </c>
      <c r="F631" s="18">
        <v>84</v>
      </c>
      <c r="G631" s="20">
        <v>0.77</v>
      </c>
      <c r="H631" s="18">
        <f t="shared" ca="1" si="36"/>
        <v>59</v>
      </c>
      <c r="I631" s="18">
        <f t="shared" ca="1" si="37"/>
        <v>173</v>
      </c>
      <c r="J631" s="15">
        <f ca="1">K631-L631</f>
        <v>121.6</v>
      </c>
      <c r="K631" s="15">
        <v>180.6</v>
      </c>
      <c r="L631" s="15">
        <f ca="1">RANDBETWEEN(30,87)</f>
        <v>59</v>
      </c>
      <c r="M631" s="11">
        <f ca="1">(L631/J631)</f>
        <v>0.48519736842105265</v>
      </c>
      <c r="N631" s="18">
        <v>86</v>
      </c>
      <c r="O631" s="18" t="str">
        <f t="shared" ca="1" si="38"/>
        <v>Optimal</v>
      </c>
      <c r="P631" s="11" t="str">
        <f ca="1">RANDBETWEEN(30,76)&amp;"%"</f>
        <v>51%</v>
      </c>
      <c r="Q631" s="18">
        <f>PRODUCT(K631,N631)</f>
        <v>15531.6</v>
      </c>
    </row>
    <row r="632" spans="1:17" x14ac:dyDescent="0.45">
      <c r="A632" s="6" t="s">
        <v>998</v>
      </c>
      <c r="B632" s="9" t="s">
        <v>996</v>
      </c>
      <c r="C632" s="6" t="s">
        <v>45</v>
      </c>
      <c r="D632" s="18">
        <f ca="1">RANDBETWEEN(500,1000)</f>
        <v>740</v>
      </c>
      <c r="E632" s="19">
        <v>45418</v>
      </c>
      <c r="F632" s="18">
        <v>11</v>
      </c>
      <c r="G632" s="20">
        <v>0.83</v>
      </c>
      <c r="H632" s="18">
        <f t="shared" ca="1" si="36"/>
        <v>76</v>
      </c>
      <c r="I632" s="18">
        <f t="shared" ca="1" si="37"/>
        <v>71</v>
      </c>
      <c r="J632" s="15">
        <f ca="1">K632-L632</f>
        <v>294</v>
      </c>
      <c r="K632" s="15">
        <v>344</v>
      </c>
      <c r="L632" s="15">
        <f ca="1">RANDBETWEEN(30,87)</f>
        <v>50</v>
      </c>
      <c r="M632" s="11">
        <f ca="1">(L632/J632)</f>
        <v>0.17006802721088435</v>
      </c>
      <c r="N632" s="18">
        <v>93</v>
      </c>
      <c r="O632" s="18" t="str">
        <f t="shared" ca="1" si="38"/>
        <v>Understocked</v>
      </c>
      <c r="P632" s="11" t="str">
        <f ca="1">RANDBETWEEN(30,76)&amp;"%"</f>
        <v>63%</v>
      </c>
      <c r="Q632" s="18">
        <f>PRODUCT(K632,N632)</f>
        <v>31992</v>
      </c>
    </row>
    <row r="633" spans="1:17" x14ac:dyDescent="0.45">
      <c r="A633" s="6" t="s">
        <v>999</v>
      </c>
      <c r="B633" s="9" t="s">
        <v>996</v>
      </c>
      <c r="C633" s="6" t="s">
        <v>45</v>
      </c>
      <c r="D633" s="18">
        <f ca="1">RANDBETWEEN(500,1000)</f>
        <v>532</v>
      </c>
      <c r="E633" s="19">
        <v>45656</v>
      </c>
      <c r="F633" s="18">
        <v>100</v>
      </c>
      <c r="G633" s="20">
        <v>0.77</v>
      </c>
      <c r="H633" s="18">
        <f t="shared" ca="1" si="36"/>
        <v>75</v>
      </c>
      <c r="I633" s="18">
        <f t="shared" ca="1" si="37"/>
        <v>136</v>
      </c>
      <c r="J633" s="15">
        <f ca="1">K633-L633</f>
        <v>1</v>
      </c>
      <c r="K633" s="15">
        <v>86</v>
      </c>
      <c r="L633" s="15">
        <f ca="1">RANDBETWEEN(30,87)</f>
        <v>85</v>
      </c>
      <c r="M633" s="11">
        <f ca="1">(L633/J633)</f>
        <v>85</v>
      </c>
      <c r="N633" s="18">
        <v>84</v>
      </c>
      <c r="O633" s="18" t="str">
        <f t="shared" ca="1" si="38"/>
        <v>Optimal</v>
      </c>
      <c r="P633" s="11" t="str">
        <f ca="1">RANDBETWEEN(30,76)&amp;"%"</f>
        <v>36%</v>
      </c>
      <c r="Q633" s="18">
        <f>PRODUCT(K633,N633)</f>
        <v>7224</v>
      </c>
    </row>
    <row r="634" spans="1:17" x14ac:dyDescent="0.45">
      <c r="A634" s="6" t="s">
        <v>1000</v>
      </c>
      <c r="B634" s="9" t="s">
        <v>996</v>
      </c>
      <c r="C634" s="6" t="s">
        <v>45</v>
      </c>
      <c r="D634" s="18">
        <f ca="1">RANDBETWEEN(500,1000)</f>
        <v>631</v>
      </c>
      <c r="E634" s="19">
        <v>45361</v>
      </c>
      <c r="F634" s="18">
        <v>44</v>
      </c>
      <c r="G634" s="20">
        <v>0.6</v>
      </c>
      <c r="H634" s="18">
        <f t="shared" ca="1" si="36"/>
        <v>62</v>
      </c>
      <c r="I634" s="18">
        <f t="shared" ca="1" si="37"/>
        <v>104</v>
      </c>
      <c r="J634" s="15">
        <f ca="1">K634-L634</f>
        <v>554.79999999999995</v>
      </c>
      <c r="K634" s="15">
        <v>584.79999999999995</v>
      </c>
      <c r="L634" s="15">
        <f ca="1">RANDBETWEEN(30,87)</f>
        <v>30</v>
      </c>
      <c r="M634" s="11">
        <f ca="1">(L634/J634)</f>
        <v>5.4073540014419615E-2</v>
      </c>
      <c r="N634" s="18">
        <v>82</v>
      </c>
      <c r="O634" s="18" t="str">
        <f t="shared" ca="1" si="38"/>
        <v>Understocked</v>
      </c>
      <c r="P634" s="11" t="str">
        <f ca="1">RANDBETWEEN(30,76)&amp;"%"</f>
        <v>45%</v>
      </c>
      <c r="Q634" s="18">
        <f>PRODUCT(K634,N634)</f>
        <v>47953.599999999999</v>
      </c>
    </row>
    <row r="635" spans="1:17" x14ac:dyDescent="0.45">
      <c r="A635" s="6" t="s">
        <v>1033</v>
      </c>
      <c r="B635" s="9" t="s">
        <v>1034</v>
      </c>
      <c r="C635" s="6" t="s">
        <v>45</v>
      </c>
      <c r="D635" s="18">
        <f ca="1">RANDBETWEEN(500,1000)</f>
        <v>569</v>
      </c>
      <c r="E635" s="19">
        <v>45667</v>
      </c>
      <c r="F635" s="18">
        <v>75</v>
      </c>
      <c r="G635" s="20">
        <v>0.6</v>
      </c>
      <c r="H635" s="18">
        <f t="shared" ca="1" si="36"/>
        <v>63</v>
      </c>
      <c r="I635" s="18">
        <f t="shared" ca="1" si="37"/>
        <v>147</v>
      </c>
      <c r="J635" s="15">
        <f ca="1">K635-L635</f>
        <v>122.4</v>
      </c>
      <c r="K635" s="15">
        <v>206.4</v>
      </c>
      <c r="L635" s="15">
        <f ca="1">RANDBETWEEN(30,87)</f>
        <v>84</v>
      </c>
      <c r="M635" s="11">
        <f ca="1">(L635/J635)</f>
        <v>0.68627450980392157</v>
      </c>
      <c r="N635" s="18">
        <v>90</v>
      </c>
      <c r="O635" s="18" t="str">
        <f t="shared" ca="1" si="38"/>
        <v>Optimal</v>
      </c>
      <c r="P635" s="11" t="str">
        <f ca="1">RANDBETWEEN(30,76)&amp;"%"</f>
        <v>74%</v>
      </c>
      <c r="Q635" s="18">
        <f>PRODUCT(K635,N635)</f>
        <v>18576</v>
      </c>
    </row>
    <row r="636" spans="1:17" x14ac:dyDescent="0.45">
      <c r="A636" t="s">
        <v>744</v>
      </c>
      <c r="B636" t="s">
        <v>745</v>
      </c>
      <c r="C636" t="s">
        <v>45</v>
      </c>
      <c r="D636" s="18">
        <f ca="1">RANDBETWEEN(500,1000)</f>
        <v>659</v>
      </c>
      <c r="E636" s="1">
        <v>45495</v>
      </c>
      <c r="F636">
        <v>47</v>
      </c>
      <c r="G636" s="2">
        <v>0.31</v>
      </c>
      <c r="H636" s="18">
        <f t="shared" ca="1" si="36"/>
        <v>72</v>
      </c>
      <c r="I636" s="18">
        <f t="shared" ca="1" si="37"/>
        <v>106</v>
      </c>
      <c r="J636" s="4">
        <f ca="1">K636-L636</f>
        <v>1651</v>
      </c>
      <c r="K636" s="4">
        <v>1720</v>
      </c>
      <c r="L636" s="4">
        <f ca="1">RANDBETWEEN(30,87)</f>
        <v>69</v>
      </c>
      <c r="M636" s="3">
        <f ca="1">(L636/J636)</f>
        <v>4.1792852816474865E-2</v>
      </c>
      <c r="N636">
        <v>36</v>
      </c>
      <c r="O636" s="18" t="str">
        <f t="shared" ca="1" si="38"/>
        <v>Understocked</v>
      </c>
      <c r="P636">
        <v>78</v>
      </c>
    </row>
    <row r="637" spans="1:17" x14ac:dyDescent="0.45">
      <c r="A637" s="6" t="s">
        <v>1035</v>
      </c>
      <c r="B637" s="9" t="s">
        <v>1034</v>
      </c>
      <c r="C637" s="6" t="s">
        <v>45</v>
      </c>
      <c r="D637" s="18">
        <f ca="1">RANDBETWEEN(500,1000)</f>
        <v>722</v>
      </c>
      <c r="E637" s="19">
        <v>45496</v>
      </c>
      <c r="F637" s="18">
        <v>23</v>
      </c>
      <c r="G637" s="20">
        <v>0.79</v>
      </c>
      <c r="H637" s="18">
        <f t="shared" ca="1" si="36"/>
        <v>64</v>
      </c>
      <c r="I637" s="18">
        <f t="shared" ca="1" si="37"/>
        <v>169</v>
      </c>
      <c r="J637" s="15">
        <f ca="1">K637-L637</f>
        <v>204</v>
      </c>
      <c r="K637" s="15">
        <v>258</v>
      </c>
      <c r="L637" s="15">
        <f ca="1">RANDBETWEEN(30,87)</f>
        <v>54</v>
      </c>
      <c r="M637" s="11">
        <f ca="1">(L637/J637)</f>
        <v>0.26470588235294118</v>
      </c>
      <c r="N637" s="18">
        <v>92</v>
      </c>
      <c r="O637" s="18" t="str">
        <f t="shared" ca="1" si="38"/>
        <v>Understocked</v>
      </c>
      <c r="P637" s="11" t="str">
        <f ca="1">RANDBETWEEN(30,76)&amp;"%"</f>
        <v>73%</v>
      </c>
      <c r="Q637" s="18">
        <f>PRODUCT(K637,N637)</f>
        <v>23736</v>
      </c>
    </row>
    <row r="638" spans="1:17" x14ac:dyDescent="0.45">
      <c r="A638" s="6" t="s">
        <v>1036</v>
      </c>
      <c r="B638" s="9" t="s">
        <v>1034</v>
      </c>
      <c r="C638" s="6" t="s">
        <v>45</v>
      </c>
      <c r="D638" s="18">
        <f ca="1">RANDBETWEEN(500,1000)</f>
        <v>816</v>
      </c>
      <c r="E638" s="19">
        <v>45669</v>
      </c>
      <c r="F638" s="18">
        <v>58</v>
      </c>
      <c r="G638" s="20">
        <v>0.33</v>
      </c>
      <c r="H638" s="18">
        <f t="shared" ca="1" si="36"/>
        <v>58</v>
      </c>
      <c r="I638" s="18">
        <f t="shared" ca="1" si="37"/>
        <v>95</v>
      </c>
      <c r="J638" s="15">
        <f ca="1">K638-L638</f>
        <v>336</v>
      </c>
      <c r="K638" s="15">
        <v>387</v>
      </c>
      <c r="L638" s="15">
        <f ca="1">RANDBETWEEN(30,87)</f>
        <v>51</v>
      </c>
      <c r="M638" s="11">
        <f ca="1">(L638/J638)</f>
        <v>0.15178571428571427</v>
      </c>
      <c r="N638" s="18">
        <v>71</v>
      </c>
      <c r="O638" s="18" t="str">
        <f t="shared" ca="1" si="38"/>
        <v>Optimal</v>
      </c>
      <c r="P638" s="11" t="str">
        <f ca="1">RANDBETWEEN(30,76)&amp;"%"</f>
        <v>67%</v>
      </c>
      <c r="Q638" s="18">
        <f>PRODUCT(K638,N638)</f>
        <v>27477</v>
      </c>
    </row>
    <row r="639" spans="1:17" x14ac:dyDescent="0.45">
      <c r="A639" s="6" t="s">
        <v>1037</v>
      </c>
      <c r="B639" s="9" t="s">
        <v>1034</v>
      </c>
      <c r="C639" s="6" t="s">
        <v>45</v>
      </c>
      <c r="D639" s="18">
        <f ca="1">RANDBETWEEN(500,1000)</f>
        <v>546</v>
      </c>
      <c r="E639" s="19">
        <v>45626</v>
      </c>
      <c r="F639" s="18">
        <v>27</v>
      </c>
      <c r="G639" s="20">
        <v>0.42</v>
      </c>
      <c r="H639" s="18">
        <f t="shared" ca="1" si="36"/>
        <v>71</v>
      </c>
      <c r="I639" s="18">
        <f t="shared" ca="1" si="37"/>
        <v>104</v>
      </c>
      <c r="J639" s="15">
        <f ca="1">K639-L639</f>
        <v>309</v>
      </c>
      <c r="K639" s="15">
        <v>344</v>
      </c>
      <c r="L639" s="15">
        <f ca="1">RANDBETWEEN(30,87)</f>
        <v>35</v>
      </c>
      <c r="M639" s="11">
        <f ca="1">(L639/J639)</f>
        <v>0.11326860841423948</v>
      </c>
      <c r="N639" s="18">
        <v>70</v>
      </c>
      <c r="O639" s="18" t="str">
        <f t="shared" ca="1" si="38"/>
        <v>Understocked</v>
      </c>
      <c r="P639" s="11" t="str">
        <f ca="1">RANDBETWEEN(30,76)&amp;"%"</f>
        <v>66%</v>
      </c>
      <c r="Q639" s="18">
        <f>PRODUCT(K639,N639)</f>
        <v>24080</v>
      </c>
    </row>
    <row r="640" spans="1:17" x14ac:dyDescent="0.45">
      <c r="A640" s="6" t="s">
        <v>1038</v>
      </c>
      <c r="B640" s="9" t="s">
        <v>1034</v>
      </c>
      <c r="C640" s="6" t="s">
        <v>45</v>
      </c>
      <c r="D640" s="18">
        <f ca="1">RANDBETWEEN(500,1000)</f>
        <v>513</v>
      </c>
      <c r="E640" s="19">
        <v>45417</v>
      </c>
      <c r="F640" s="18">
        <v>13</v>
      </c>
      <c r="G640" s="20">
        <v>0.34</v>
      </c>
      <c r="H640" s="18">
        <f t="shared" ca="1" si="36"/>
        <v>74</v>
      </c>
      <c r="I640" s="18">
        <f t="shared" ca="1" si="37"/>
        <v>145</v>
      </c>
      <c r="J640" s="15">
        <f ca="1">K640-L640</f>
        <v>993</v>
      </c>
      <c r="K640" s="15">
        <v>1032</v>
      </c>
      <c r="L640" s="15">
        <f ca="1">RANDBETWEEN(30,87)</f>
        <v>39</v>
      </c>
      <c r="M640" s="11">
        <f ca="1">(L640/J640)</f>
        <v>3.9274924471299093E-2</v>
      </c>
      <c r="N640" s="18">
        <v>100</v>
      </c>
      <c r="O640" s="18" t="str">
        <f t="shared" ca="1" si="38"/>
        <v>Understocked</v>
      </c>
      <c r="P640" s="11" t="str">
        <f ca="1">RANDBETWEEN(30,76)&amp;"%"</f>
        <v>53%</v>
      </c>
      <c r="Q640" s="18">
        <f>PRODUCT(K640,N640)</f>
        <v>103200</v>
      </c>
    </row>
    <row r="641" spans="1:17" x14ac:dyDescent="0.45">
      <c r="A641" s="6" t="s">
        <v>1039</v>
      </c>
      <c r="B641" s="9" t="s">
        <v>1034</v>
      </c>
      <c r="C641" s="6" t="s">
        <v>45</v>
      </c>
      <c r="D641" s="18">
        <f ca="1">RANDBETWEEN(500,1000)</f>
        <v>605</v>
      </c>
      <c r="E641" s="19">
        <v>45670</v>
      </c>
      <c r="F641" s="18">
        <v>53</v>
      </c>
      <c r="G641" s="20">
        <v>0.88</v>
      </c>
      <c r="H641" s="18">
        <f t="shared" ca="1" si="36"/>
        <v>69</v>
      </c>
      <c r="I641" s="18">
        <f t="shared" ca="1" si="37"/>
        <v>110</v>
      </c>
      <c r="J641" s="15">
        <f ca="1">K641-L641</f>
        <v>91.800000000000011</v>
      </c>
      <c r="K641" s="15">
        <v>154.80000000000001</v>
      </c>
      <c r="L641" s="15">
        <f ca="1">RANDBETWEEN(30,87)</f>
        <v>63</v>
      </c>
      <c r="M641" s="11">
        <f ca="1">(L641/J641)</f>
        <v>0.68627450980392146</v>
      </c>
      <c r="N641" s="18">
        <v>24</v>
      </c>
      <c r="O641" s="18" t="str">
        <f t="shared" ca="1" si="38"/>
        <v>Understocked</v>
      </c>
      <c r="P641" s="11" t="str">
        <f ca="1">RANDBETWEEN(30,76)&amp;"%"</f>
        <v>41%</v>
      </c>
      <c r="Q641" s="18">
        <f>PRODUCT(K641,N641)</f>
        <v>3715.2000000000003</v>
      </c>
    </row>
    <row r="642" spans="1:17" x14ac:dyDescent="0.45">
      <c r="A642" s="6" t="s">
        <v>1040</v>
      </c>
      <c r="B642" s="9" t="s">
        <v>1034</v>
      </c>
      <c r="C642" s="6" t="s">
        <v>45</v>
      </c>
      <c r="D642" s="18">
        <f ca="1">RANDBETWEEN(500,1000)</f>
        <v>567</v>
      </c>
      <c r="E642" s="19">
        <v>45396</v>
      </c>
      <c r="F642" s="18">
        <v>51</v>
      </c>
      <c r="G642" s="20">
        <v>0.55000000000000004</v>
      </c>
      <c r="H642" s="18">
        <f t="shared" ca="1" si="36"/>
        <v>65</v>
      </c>
      <c r="I642" s="18">
        <f t="shared" ca="1" si="37"/>
        <v>142</v>
      </c>
      <c r="J642" s="15">
        <f ca="1">K642-L642</f>
        <v>139</v>
      </c>
      <c r="K642" s="15">
        <v>172</v>
      </c>
      <c r="L642" s="15">
        <f ca="1">RANDBETWEEN(30,87)</f>
        <v>33</v>
      </c>
      <c r="M642" s="11">
        <f ca="1">(L642/J642)</f>
        <v>0.23741007194244604</v>
      </c>
      <c r="N642" s="18">
        <v>23</v>
      </c>
      <c r="O642" s="18" t="str">
        <f t="shared" ca="1" si="38"/>
        <v>Understocked</v>
      </c>
      <c r="P642" s="11" t="str">
        <f ca="1">RANDBETWEEN(30,76)&amp;"%"</f>
        <v>58%</v>
      </c>
      <c r="Q642" s="18">
        <f>PRODUCT(K642,N642)</f>
        <v>3956</v>
      </c>
    </row>
    <row r="643" spans="1:17" x14ac:dyDescent="0.45">
      <c r="A643" s="6" t="s">
        <v>1041</v>
      </c>
      <c r="B643" s="9" t="s">
        <v>1034</v>
      </c>
      <c r="C643" s="6" t="s">
        <v>45</v>
      </c>
      <c r="D643" s="18">
        <f ca="1">RANDBETWEEN(500,1000)</f>
        <v>697</v>
      </c>
      <c r="E643" s="19">
        <v>45538</v>
      </c>
      <c r="F643" s="18">
        <v>90</v>
      </c>
      <c r="G643" s="20">
        <v>0.72</v>
      </c>
      <c r="H643" s="18">
        <f t="shared" ca="1" si="36"/>
        <v>57</v>
      </c>
      <c r="I643" s="18">
        <f t="shared" ca="1" si="37"/>
        <v>94</v>
      </c>
      <c r="J643" s="15">
        <f ca="1">K643-L643</f>
        <v>136</v>
      </c>
      <c r="K643" s="15">
        <v>215</v>
      </c>
      <c r="L643" s="15">
        <f ca="1">RANDBETWEEN(30,87)</f>
        <v>79</v>
      </c>
      <c r="M643" s="11">
        <f ca="1">(L643/J643)</f>
        <v>0.58088235294117652</v>
      </c>
      <c r="N643" s="18">
        <v>82</v>
      </c>
      <c r="O643" s="18" t="str">
        <f t="shared" ca="1" si="38"/>
        <v>Optimal</v>
      </c>
      <c r="P643" s="11" t="str">
        <f ca="1">RANDBETWEEN(30,76)&amp;"%"</f>
        <v>52%</v>
      </c>
      <c r="Q643" s="18">
        <f>PRODUCT(K643,N643)</f>
        <v>17630</v>
      </c>
    </row>
    <row r="644" spans="1:17" x14ac:dyDescent="0.45">
      <c r="A644" s="6" t="s">
        <v>1042</v>
      </c>
      <c r="B644" s="9" t="s">
        <v>1034</v>
      </c>
      <c r="C644" s="6" t="s">
        <v>45</v>
      </c>
      <c r="D644" s="18">
        <f ca="1">RANDBETWEEN(500,1000)</f>
        <v>572</v>
      </c>
      <c r="E644" s="19">
        <v>45589</v>
      </c>
      <c r="F644" s="18">
        <v>71</v>
      </c>
      <c r="G644" s="20">
        <v>0.47</v>
      </c>
      <c r="H644" s="18">
        <f t="shared" ca="1" si="36"/>
        <v>74</v>
      </c>
      <c r="I644" s="18">
        <f t="shared" ca="1" si="37"/>
        <v>145</v>
      </c>
      <c r="J644" s="15">
        <f ca="1">K644-L644</f>
        <v>302</v>
      </c>
      <c r="K644" s="15">
        <v>387</v>
      </c>
      <c r="L644" s="15">
        <f ca="1">RANDBETWEEN(30,87)</f>
        <v>85</v>
      </c>
      <c r="M644" s="11">
        <f ca="1">(L644/J644)</f>
        <v>0.2814569536423841</v>
      </c>
      <c r="N644" s="18">
        <v>81</v>
      </c>
      <c r="O644" s="18" t="str">
        <f t="shared" ca="1" si="38"/>
        <v>Understocked</v>
      </c>
      <c r="P644" s="11" t="str">
        <f ca="1">RANDBETWEEN(30,76)&amp;"%"</f>
        <v>60%</v>
      </c>
      <c r="Q644" s="18">
        <f>PRODUCT(K644,N644)</f>
        <v>31347</v>
      </c>
    </row>
    <row r="645" spans="1:17" x14ac:dyDescent="0.45">
      <c r="A645" s="6" t="s">
        <v>1121</v>
      </c>
      <c r="B645" s="9" t="s">
        <v>1122</v>
      </c>
      <c r="C645" s="6" t="s">
        <v>45</v>
      </c>
      <c r="D645" s="18">
        <f ca="1">RANDBETWEEN(500,1000)</f>
        <v>599</v>
      </c>
      <c r="E645" s="19">
        <v>45503</v>
      </c>
      <c r="F645" s="18">
        <v>89</v>
      </c>
      <c r="G645" s="20">
        <v>0.39</v>
      </c>
      <c r="H645" s="18">
        <f t="shared" ca="1" si="36"/>
        <v>57</v>
      </c>
      <c r="I645" s="18">
        <f t="shared" ca="1" si="37"/>
        <v>188</v>
      </c>
      <c r="J645" s="15">
        <f ca="1">K645-L645</f>
        <v>437</v>
      </c>
      <c r="K645" s="15">
        <v>516</v>
      </c>
      <c r="L645" s="15">
        <f ca="1">RANDBETWEEN(30,87)</f>
        <v>79</v>
      </c>
      <c r="M645" s="11">
        <f ca="1">(L645/J645)</f>
        <v>0.18077803203661327</v>
      </c>
      <c r="N645" s="18">
        <v>27</v>
      </c>
      <c r="O645" s="18" t="str">
        <f t="shared" ca="1" si="38"/>
        <v>Optimal</v>
      </c>
      <c r="P645" s="11" t="str">
        <f ca="1">RANDBETWEEN(30,76)&amp;"%"</f>
        <v>70%</v>
      </c>
      <c r="Q645" s="18">
        <f>PRODUCT(K645,N645)</f>
        <v>13932</v>
      </c>
    </row>
    <row r="646" spans="1:17" x14ac:dyDescent="0.45">
      <c r="A646" s="6" t="s">
        <v>1123</v>
      </c>
      <c r="B646" s="9" t="s">
        <v>1122</v>
      </c>
      <c r="C646" s="6" t="s">
        <v>45</v>
      </c>
      <c r="D646" s="18">
        <f ca="1">RANDBETWEEN(500,1000)</f>
        <v>853</v>
      </c>
      <c r="E646" s="19">
        <v>45386</v>
      </c>
      <c r="F646" s="18">
        <v>52</v>
      </c>
      <c r="G646" s="20">
        <v>0.66</v>
      </c>
      <c r="H646" s="18">
        <f t="shared" ca="1" si="36"/>
        <v>51</v>
      </c>
      <c r="I646" s="18">
        <f t="shared" ca="1" si="37"/>
        <v>189</v>
      </c>
      <c r="J646" s="15">
        <f ca="1">K646-L646</f>
        <v>785</v>
      </c>
      <c r="K646" s="15">
        <v>860</v>
      </c>
      <c r="L646" s="15">
        <f ca="1">RANDBETWEEN(30,87)</f>
        <v>75</v>
      </c>
      <c r="M646" s="11">
        <f ca="1">(L646/J646)</f>
        <v>9.5541401273885357E-2</v>
      </c>
      <c r="N646" s="18">
        <v>36</v>
      </c>
      <c r="O646" s="18" t="str">
        <f t="shared" ca="1" si="38"/>
        <v>Optimal</v>
      </c>
      <c r="P646" s="11" t="str">
        <f ca="1">RANDBETWEEN(30,76)&amp;"%"</f>
        <v>38%</v>
      </c>
      <c r="Q646" s="18">
        <f>PRODUCT(K646,N646)</f>
        <v>30960</v>
      </c>
    </row>
    <row r="647" spans="1:17" x14ac:dyDescent="0.45">
      <c r="A647" s="6" t="s">
        <v>1124</v>
      </c>
      <c r="B647" s="9" t="s">
        <v>1122</v>
      </c>
      <c r="C647" s="6" t="s">
        <v>45</v>
      </c>
      <c r="D647" s="18">
        <f ca="1">RANDBETWEEN(500,1000)</f>
        <v>727</v>
      </c>
      <c r="E647" s="19">
        <v>45450</v>
      </c>
      <c r="F647" s="18">
        <v>63</v>
      </c>
      <c r="G647" s="20">
        <v>0.78</v>
      </c>
      <c r="H647" s="18">
        <f t="shared" ca="1" si="36"/>
        <v>68</v>
      </c>
      <c r="I647" s="18">
        <f t="shared" ca="1" si="37"/>
        <v>175</v>
      </c>
      <c r="J647" s="15">
        <f ca="1">K647-L647</f>
        <v>719</v>
      </c>
      <c r="K647" s="15">
        <v>774</v>
      </c>
      <c r="L647" s="15">
        <f ca="1">RANDBETWEEN(30,87)</f>
        <v>55</v>
      </c>
      <c r="M647" s="11">
        <f ca="1">(L647/J647)</f>
        <v>7.6495132127955487E-2</v>
      </c>
      <c r="N647" s="18">
        <v>35</v>
      </c>
      <c r="O647" s="18" t="str">
        <f t="shared" ca="1" si="38"/>
        <v>Understocked</v>
      </c>
      <c r="P647" s="11" t="str">
        <f ca="1">RANDBETWEEN(30,76)&amp;"%"</f>
        <v>59%</v>
      </c>
      <c r="Q647" s="18">
        <f>PRODUCT(K647,N647)</f>
        <v>27090</v>
      </c>
    </row>
    <row r="648" spans="1:17" x14ac:dyDescent="0.45">
      <c r="A648" s="6" t="s">
        <v>1125</v>
      </c>
      <c r="B648" s="9" t="s">
        <v>1122</v>
      </c>
      <c r="C648" s="6" t="s">
        <v>45</v>
      </c>
      <c r="D648" s="18">
        <f ca="1">RANDBETWEEN(500,1000)</f>
        <v>849</v>
      </c>
      <c r="E648" s="19">
        <v>45612</v>
      </c>
      <c r="F648" s="18">
        <v>29</v>
      </c>
      <c r="G648" s="20">
        <v>0.65</v>
      </c>
      <c r="H648" s="18">
        <f t="shared" ca="1" si="36"/>
        <v>75</v>
      </c>
      <c r="I648" s="18">
        <f t="shared" ca="1" si="37"/>
        <v>101</v>
      </c>
      <c r="J648" s="15">
        <f ca="1">K648-L648</f>
        <v>536</v>
      </c>
      <c r="K648" s="15">
        <v>602</v>
      </c>
      <c r="L648" s="15">
        <f ca="1">RANDBETWEEN(30,87)</f>
        <v>66</v>
      </c>
      <c r="M648" s="11">
        <f ca="1">(L648/J648)</f>
        <v>0.12313432835820895</v>
      </c>
      <c r="N648" s="18">
        <v>53</v>
      </c>
      <c r="O648" s="18" t="str">
        <f t="shared" ca="1" si="38"/>
        <v>Understocked</v>
      </c>
      <c r="P648" s="11" t="str">
        <f ca="1">RANDBETWEEN(30,76)&amp;"%"</f>
        <v>31%</v>
      </c>
      <c r="Q648" s="18">
        <f>PRODUCT(K648,N648)</f>
        <v>31906</v>
      </c>
    </row>
    <row r="649" spans="1:17" x14ac:dyDescent="0.45">
      <c r="A649" s="6" t="s">
        <v>1126</v>
      </c>
      <c r="B649" s="9" t="s">
        <v>1122</v>
      </c>
      <c r="C649" s="6" t="s">
        <v>45</v>
      </c>
      <c r="D649" s="18">
        <f ca="1">RANDBETWEEN(500,1000)</f>
        <v>869</v>
      </c>
      <c r="E649" s="19">
        <v>45472</v>
      </c>
      <c r="F649" s="18">
        <v>59</v>
      </c>
      <c r="G649" s="20">
        <v>0.54</v>
      </c>
      <c r="H649" s="18">
        <f t="shared" ca="1" si="36"/>
        <v>72</v>
      </c>
      <c r="I649" s="18">
        <f t="shared" ca="1" si="37"/>
        <v>176</v>
      </c>
      <c r="J649" s="15">
        <f ca="1">K649-L649</f>
        <v>970</v>
      </c>
      <c r="K649" s="15">
        <v>1032</v>
      </c>
      <c r="L649" s="15">
        <f ca="1">RANDBETWEEN(30,87)</f>
        <v>62</v>
      </c>
      <c r="M649" s="11">
        <f ca="1">(L649/J649)</f>
        <v>6.3917525773195871E-2</v>
      </c>
      <c r="N649" s="18">
        <v>54</v>
      </c>
      <c r="O649" s="18" t="str">
        <f t="shared" ca="1" si="38"/>
        <v>Understocked</v>
      </c>
      <c r="P649" s="11" t="str">
        <f ca="1">RANDBETWEEN(30,76)&amp;"%"</f>
        <v>58%</v>
      </c>
      <c r="Q649" s="18">
        <f>PRODUCT(K649,N649)</f>
        <v>55728</v>
      </c>
    </row>
    <row r="650" spans="1:17" x14ac:dyDescent="0.45">
      <c r="A650" s="6" t="s">
        <v>1128</v>
      </c>
      <c r="B650" s="9" t="s">
        <v>1122</v>
      </c>
      <c r="C650" s="6" t="s">
        <v>45</v>
      </c>
      <c r="D650" s="18">
        <f ca="1">RANDBETWEEN(500,1000)</f>
        <v>778</v>
      </c>
      <c r="E650" s="19">
        <v>45468</v>
      </c>
      <c r="F650" s="18">
        <v>43</v>
      </c>
      <c r="G650" s="20">
        <v>0.44</v>
      </c>
      <c r="H650" s="18">
        <f t="shared" ca="1" si="36"/>
        <v>61</v>
      </c>
      <c r="I650" s="18">
        <f t="shared" ca="1" si="37"/>
        <v>185</v>
      </c>
      <c r="J650" s="15">
        <f ca="1">K650-L650</f>
        <v>50</v>
      </c>
      <c r="K650" s="15">
        <v>129</v>
      </c>
      <c r="L650" s="15">
        <f ca="1">RANDBETWEEN(30,87)</f>
        <v>79</v>
      </c>
      <c r="M650" s="11">
        <f ca="1">(L650/J650)</f>
        <v>1.58</v>
      </c>
      <c r="N650" s="18">
        <v>22</v>
      </c>
      <c r="O650" s="18" t="str">
        <f t="shared" ca="1" si="38"/>
        <v>Understocked</v>
      </c>
      <c r="P650" s="11" t="str">
        <f ca="1">RANDBETWEEN(30,76)&amp;"%"</f>
        <v>46%</v>
      </c>
      <c r="Q650" s="18">
        <f>PRODUCT(K650,N650)</f>
        <v>2838</v>
      </c>
    </row>
    <row r="651" spans="1:17" x14ac:dyDescent="0.45">
      <c r="A651" s="6" t="s">
        <v>1129</v>
      </c>
      <c r="B651" s="9" t="s">
        <v>1122</v>
      </c>
      <c r="C651" s="6" t="s">
        <v>45</v>
      </c>
      <c r="D651" s="18">
        <f ca="1">RANDBETWEEN(500,1000)</f>
        <v>635</v>
      </c>
      <c r="E651" s="19">
        <v>45627</v>
      </c>
      <c r="F651" s="18">
        <v>98</v>
      </c>
      <c r="G651" s="20">
        <v>0.89</v>
      </c>
      <c r="H651" s="18">
        <f t="shared" ca="1" si="36"/>
        <v>59</v>
      </c>
      <c r="I651" s="18">
        <f t="shared" ca="1" si="37"/>
        <v>109</v>
      </c>
      <c r="J651" s="15">
        <f>K651-L651</f>
        <v>52</v>
      </c>
      <c r="K651" s="15">
        <v>86</v>
      </c>
      <c r="L651" s="15">
        <v>34</v>
      </c>
      <c r="M651" s="11">
        <f>(L651/J651)</f>
        <v>0.65384615384615385</v>
      </c>
      <c r="N651" s="18">
        <v>48</v>
      </c>
      <c r="O651" s="18" t="str">
        <f t="shared" ca="1" si="38"/>
        <v>Optimal</v>
      </c>
      <c r="P651" s="11" t="str">
        <f ca="1">RANDBETWEEN(30,76)&amp;"%"</f>
        <v>64%</v>
      </c>
      <c r="Q651" s="18">
        <f>PRODUCT(K651,N651)</f>
        <v>4128</v>
      </c>
    </row>
    <row r="652" spans="1:17" x14ac:dyDescent="0.45">
      <c r="A652" s="6" t="s">
        <v>1130</v>
      </c>
      <c r="B652" s="9" t="s">
        <v>1122</v>
      </c>
      <c r="C652" s="6" t="s">
        <v>45</v>
      </c>
      <c r="D652" s="18">
        <f ca="1">RANDBETWEEN(500,1000)</f>
        <v>903</v>
      </c>
      <c r="E652" s="19">
        <v>45549</v>
      </c>
      <c r="F652" s="18">
        <v>43</v>
      </c>
      <c r="G652" s="20">
        <v>0.41</v>
      </c>
      <c r="H652" s="18">
        <f t="shared" ca="1" si="36"/>
        <v>69</v>
      </c>
      <c r="I652" s="18">
        <f t="shared" ca="1" si="37"/>
        <v>121</v>
      </c>
      <c r="J652" s="15">
        <f ca="1">K652-L652</f>
        <v>107</v>
      </c>
      <c r="K652" s="15">
        <v>172</v>
      </c>
      <c r="L652" s="15">
        <f ca="1">RANDBETWEEN(30,87)</f>
        <v>65</v>
      </c>
      <c r="M652" s="11">
        <f ca="1">(L652/J652)</f>
        <v>0.60747663551401865</v>
      </c>
      <c r="N652" s="18">
        <v>66</v>
      </c>
      <c r="O652" s="18" t="str">
        <f t="shared" ca="1" si="38"/>
        <v>Understocked</v>
      </c>
      <c r="P652" s="11" t="str">
        <f ca="1">RANDBETWEEN(30,76)&amp;"%"</f>
        <v>63%</v>
      </c>
      <c r="Q652" s="18">
        <f>PRODUCT(K652,N652)</f>
        <v>11352</v>
      </c>
    </row>
    <row r="653" spans="1:17" x14ac:dyDescent="0.45">
      <c r="A653" s="6" t="s">
        <v>1131</v>
      </c>
      <c r="B653" s="9" t="s">
        <v>1122</v>
      </c>
      <c r="C653" s="6" t="s">
        <v>45</v>
      </c>
      <c r="D653" s="18">
        <f ca="1">RANDBETWEEN(500,1000)</f>
        <v>517</v>
      </c>
      <c r="E653" s="19">
        <v>45494</v>
      </c>
      <c r="F653" s="18">
        <v>26</v>
      </c>
      <c r="G653" s="20">
        <v>0.8</v>
      </c>
      <c r="H653" s="18">
        <f t="shared" ca="1" si="36"/>
        <v>52</v>
      </c>
      <c r="I653" s="18">
        <f t="shared" ca="1" si="37"/>
        <v>122</v>
      </c>
      <c r="J653" s="15">
        <f ca="1">K653-L653</f>
        <v>481</v>
      </c>
      <c r="K653" s="15">
        <v>516</v>
      </c>
      <c r="L653" s="15">
        <f ca="1">RANDBETWEEN(30,87)</f>
        <v>35</v>
      </c>
      <c r="M653" s="11">
        <f ca="1">(L653/J653)</f>
        <v>7.2765072765072769E-2</v>
      </c>
      <c r="N653" s="18">
        <v>57</v>
      </c>
      <c r="O653" s="18" t="str">
        <f t="shared" ca="1" si="38"/>
        <v>Understocked</v>
      </c>
      <c r="P653" s="11" t="str">
        <f ca="1">RANDBETWEEN(30,76)&amp;"%"</f>
        <v>64%</v>
      </c>
      <c r="Q653" s="18">
        <f>PRODUCT(K653,N653)</f>
        <v>29412</v>
      </c>
    </row>
    <row r="654" spans="1:17" x14ac:dyDescent="0.45">
      <c r="A654" t="s">
        <v>795</v>
      </c>
      <c r="B654" t="s">
        <v>793</v>
      </c>
      <c r="C654" t="s">
        <v>45</v>
      </c>
      <c r="D654" s="18">
        <f ca="1">RANDBETWEEN(500,1000)</f>
        <v>694</v>
      </c>
      <c r="E654" s="1">
        <v>45556</v>
      </c>
      <c r="F654">
        <v>95</v>
      </c>
      <c r="G654" s="2">
        <v>0.45</v>
      </c>
      <c r="H654" s="18">
        <f t="shared" ca="1" si="36"/>
        <v>80</v>
      </c>
      <c r="I654" s="18">
        <f t="shared" ca="1" si="37"/>
        <v>175</v>
      </c>
      <c r="J654" s="4">
        <f ca="1">K654-L654</f>
        <v>1141.1400000000001</v>
      </c>
      <c r="K654" s="4">
        <v>1203.1400000000001</v>
      </c>
      <c r="L654" s="4">
        <f ca="1">RANDBETWEEN(30,87)</f>
        <v>62</v>
      </c>
      <c r="M654" s="3">
        <f ca="1">(L654/J654)</f>
        <v>5.4331633279001694E-2</v>
      </c>
      <c r="N654">
        <v>69</v>
      </c>
      <c r="O654" s="18" t="str">
        <f t="shared" ca="1" si="38"/>
        <v>Optimal</v>
      </c>
      <c r="P654">
        <v>31</v>
      </c>
    </row>
    <row r="655" spans="1:17" x14ac:dyDescent="0.45">
      <c r="A655" t="s">
        <v>809</v>
      </c>
      <c r="B655" t="s">
        <v>804</v>
      </c>
      <c r="C655" t="s">
        <v>45</v>
      </c>
      <c r="D655" s="18">
        <f ca="1">RANDBETWEEN(500,1000)</f>
        <v>908</v>
      </c>
      <c r="E655" s="1">
        <v>45468</v>
      </c>
      <c r="F655">
        <v>92</v>
      </c>
      <c r="G655" s="2">
        <v>0.76</v>
      </c>
      <c r="H655" s="18">
        <f t="shared" ca="1" si="36"/>
        <v>51</v>
      </c>
      <c r="I655" s="18">
        <f t="shared" ca="1" si="37"/>
        <v>86</v>
      </c>
      <c r="J655" s="4">
        <f ca="1">K655-L655</f>
        <v>2518</v>
      </c>
      <c r="K655" s="4">
        <v>2580</v>
      </c>
      <c r="L655" s="4">
        <f ca="1">RANDBETWEEN(30,87)</f>
        <v>62</v>
      </c>
      <c r="M655" s="3">
        <f ca="1">(L655/J655)</f>
        <v>2.4622716441620333E-2</v>
      </c>
      <c r="N655">
        <v>32</v>
      </c>
      <c r="O655" s="18" t="str">
        <f t="shared" ca="1" si="38"/>
        <v>Optimal</v>
      </c>
      <c r="P655">
        <v>46</v>
      </c>
    </row>
    <row r="656" spans="1:17" x14ac:dyDescent="0.45">
      <c r="A656" t="s">
        <v>812</v>
      </c>
      <c r="B656" t="s">
        <v>804</v>
      </c>
      <c r="C656" t="s">
        <v>45</v>
      </c>
      <c r="D656" s="18">
        <f ca="1">RANDBETWEEN(500,1000)</f>
        <v>704</v>
      </c>
      <c r="E656" s="1">
        <v>45516</v>
      </c>
      <c r="F656">
        <v>60</v>
      </c>
      <c r="G656" s="2">
        <v>0.85</v>
      </c>
      <c r="H656" s="18">
        <f t="shared" ref="H656:H694" ca="1" si="39">RANDBETWEEN(50,80)</f>
        <v>51</v>
      </c>
      <c r="I656" s="18">
        <f t="shared" ref="I656:I694" ca="1" si="40">RANDBETWEEN(70,200)</f>
        <v>115</v>
      </c>
      <c r="J656" s="4">
        <f ca="1">K656-L656</f>
        <v>1678</v>
      </c>
      <c r="K656" s="4">
        <v>1720</v>
      </c>
      <c r="L656" s="4">
        <f ca="1">RANDBETWEEN(30,87)</f>
        <v>42</v>
      </c>
      <c r="M656" s="3">
        <f ca="1">(L656/J656)</f>
        <v>2.5029797377830752E-2</v>
      </c>
      <c r="N656">
        <v>96</v>
      </c>
      <c r="O656" s="18" t="str">
        <f t="shared" ref="O656:O694" ca="1" si="41">IF(F656&lt;H656,"Understocked","Optimal")</f>
        <v>Optimal</v>
      </c>
      <c r="P656">
        <v>3</v>
      </c>
    </row>
    <row r="657" spans="1:17" x14ac:dyDescent="0.45">
      <c r="A657" t="s">
        <v>946</v>
      </c>
      <c r="B657" t="s">
        <v>942</v>
      </c>
      <c r="C657" t="s">
        <v>45</v>
      </c>
      <c r="D657" s="18">
        <f ca="1">RANDBETWEEN(500,1000)</f>
        <v>712</v>
      </c>
      <c r="E657" s="1">
        <v>45624</v>
      </c>
      <c r="F657">
        <v>26</v>
      </c>
      <c r="G657" s="2">
        <v>0.74</v>
      </c>
      <c r="H657" s="18">
        <f t="shared" ca="1" si="39"/>
        <v>66</v>
      </c>
      <c r="I657" s="18">
        <f t="shared" ca="1" si="40"/>
        <v>125</v>
      </c>
      <c r="J657" s="4">
        <f ca="1">K657-L657</f>
        <v>2566</v>
      </c>
      <c r="K657" s="4">
        <v>2623</v>
      </c>
      <c r="L657" s="4">
        <f ca="1">RANDBETWEEN(30,87)</f>
        <v>57</v>
      </c>
      <c r="M657" s="3">
        <f ca="1">(L657/J657)</f>
        <v>2.2213561964146533E-2</v>
      </c>
      <c r="N657">
        <v>94</v>
      </c>
      <c r="O657" s="18" t="str">
        <f t="shared" ca="1" si="41"/>
        <v>Understocked</v>
      </c>
      <c r="P657">
        <v>82</v>
      </c>
    </row>
    <row r="658" spans="1:17" x14ac:dyDescent="0.45">
      <c r="A658" t="s">
        <v>1127</v>
      </c>
      <c r="B658" t="s">
        <v>1122</v>
      </c>
      <c r="C658" t="s">
        <v>45</v>
      </c>
      <c r="D658" s="18">
        <f ca="1">RANDBETWEEN(500,1000)</f>
        <v>536</v>
      </c>
      <c r="E658" s="1">
        <v>45542</v>
      </c>
      <c r="F658">
        <v>61</v>
      </c>
      <c r="G658" s="2">
        <v>0.86</v>
      </c>
      <c r="H658" s="18">
        <f t="shared" ca="1" si="39"/>
        <v>64</v>
      </c>
      <c r="I658" s="18">
        <f t="shared" ca="1" si="40"/>
        <v>112</v>
      </c>
      <c r="J658" s="4">
        <f ca="1">K658-L658</f>
        <v>997</v>
      </c>
      <c r="K658" s="4">
        <v>1032</v>
      </c>
      <c r="L658" s="4">
        <f ca="1">RANDBETWEEN(30,87)</f>
        <v>35</v>
      </c>
      <c r="M658" s="3">
        <f ca="1">(L658/J658)</f>
        <v>3.5105315947843531E-2</v>
      </c>
      <c r="N658">
        <v>79</v>
      </c>
      <c r="O658" s="18" t="str">
        <f t="shared" ca="1" si="41"/>
        <v>Understocked</v>
      </c>
      <c r="P658"/>
    </row>
    <row r="659" spans="1:17" x14ac:dyDescent="0.45">
      <c r="A659" t="s">
        <v>17</v>
      </c>
      <c r="B659" t="s">
        <v>13</v>
      </c>
      <c r="C659" t="s">
        <v>14</v>
      </c>
      <c r="D659" s="18">
        <f ca="1">RANDBETWEEN(500,1000)</f>
        <v>676</v>
      </c>
      <c r="E659" s="1">
        <v>45601</v>
      </c>
      <c r="F659">
        <v>54</v>
      </c>
      <c r="G659" s="2">
        <v>0.72</v>
      </c>
      <c r="H659" s="18">
        <f t="shared" ca="1" si="39"/>
        <v>60</v>
      </c>
      <c r="I659" s="18">
        <f t="shared" ca="1" si="40"/>
        <v>165</v>
      </c>
      <c r="J659" s="4">
        <f ca="1">K659-L659</f>
        <v>971</v>
      </c>
      <c r="K659" s="4">
        <v>1032</v>
      </c>
      <c r="L659" s="4">
        <f ca="1">RANDBETWEEN(30,87)</f>
        <v>61</v>
      </c>
      <c r="M659" s="3">
        <f ca="1">(L659/J659)</f>
        <v>6.2821833161688975E-2</v>
      </c>
      <c r="N659">
        <v>77</v>
      </c>
      <c r="O659" s="18" t="str">
        <f t="shared" ca="1" si="41"/>
        <v>Understocked</v>
      </c>
      <c r="P659">
        <v>56</v>
      </c>
    </row>
    <row r="660" spans="1:17" x14ac:dyDescent="0.45">
      <c r="A660" t="s">
        <v>142</v>
      </c>
      <c r="B660" t="s">
        <v>140</v>
      </c>
      <c r="C660" t="s">
        <v>14</v>
      </c>
      <c r="D660" s="18">
        <f ca="1">RANDBETWEEN(500,1000)</f>
        <v>916</v>
      </c>
      <c r="E660" s="1">
        <v>45645</v>
      </c>
      <c r="F660">
        <v>30</v>
      </c>
      <c r="G660" s="2">
        <v>0.57999999999999996</v>
      </c>
      <c r="H660" s="18">
        <f t="shared" ca="1" si="39"/>
        <v>56</v>
      </c>
      <c r="I660" s="18">
        <f t="shared" ca="1" si="40"/>
        <v>99</v>
      </c>
      <c r="J660" s="4">
        <f ca="1">K660-L660</f>
        <v>2072</v>
      </c>
      <c r="K660" s="4">
        <v>2150</v>
      </c>
      <c r="L660" s="4">
        <f ca="1">RANDBETWEEN(30,87)</f>
        <v>78</v>
      </c>
      <c r="M660" s="3">
        <f ca="1">(L660/J660)</f>
        <v>3.7644787644787646E-2</v>
      </c>
      <c r="N660">
        <v>61</v>
      </c>
      <c r="O660" s="18" t="str">
        <f t="shared" ca="1" si="41"/>
        <v>Understocked</v>
      </c>
      <c r="P660">
        <v>67</v>
      </c>
    </row>
    <row r="661" spans="1:17" x14ac:dyDescent="0.45">
      <c r="A661" t="s">
        <v>176</v>
      </c>
      <c r="B661" t="s">
        <v>170</v>
      </c>
      <c r="C661" t="s">
        <v>14</v>
      </c>
      <c r="D661" s="18">
        <f ca="1">RANDBETWEEN(500,1000)</f>
        <v>905</v>
      </c>
      <c r="E661" s="1">
        <v>45569</v>
      </c>
      <c r="F661">
        <v>97</v>
      </c>
      <c r="G661" s="2">
        <v>0.81</v>
      </c>
      <c r="H661" s="18">
        <f t="shared" ca="1" si="39"/>
        <v>74</v>
      </c>
      <c r="I661" s="18">
        <f t="shared" ca="1" si="40"/>
        <v>190</v>
      </c>
      <c r="J661" s="4">
        <f ca="1">K661-L661</f>
        <v>1217</v>
      </c>
      <c r="K661" s="4">
        <v>1290</v>
      </c>
      <c r="L661" s="4">
        <f ca="1">RANDBETWEEN(30,87)</f>
        <v>73</v>
      </c>
      <c r="M661" s="3">
        <f ca="1">(L661/J661)</f>
        <v>5.9983566146261297E-2</v>
      </c>
      <c r="N661">
        <v>35</v>
      </c>
      <c r="O661" s="18" t="str">
        <f t="shared" ca="1" si="41"/>
        <v>Optimal</v>
      </c>
      <c r="P661">
        <v>77</v>
      </c>
    </row>
    <row r="662" spans="1:17" x14ac:dyDescent="0.45">
      <c r="A662" t="s">
        <v>202</v>
      </c>
      <c r="B662" t="s">
        <v>201</v>
      </c>
      <c r="C662" t="s">
        <v>14</v>
      </c>
      <c r="D662" s="18">
        <f ca="1">RANDBETWEEN(500,1000)</f>
        <v>659</v>
      </c>
      <c r="E662" s="1">
        <v>45546</v>
      </c>
      <c r="F662">
        <v>46</v>
      </c>
      <c r="G662" s="2">
        <v>0.56000000000000005</v>
      </c>
      <c r="H662" s="18">
        <f t="shared" ca="1" si="39"/>
        <v>74</v>
      </c>
      <c r="I662" s="18">
        <f t="shared" ca="1" si="40"/>
        <v>191</v>
      </c>
      <c r="J662" s="4">
        <f ca="1">K662-L662</f>
        <v>2504</v>
      </c>
      <c r="K662" s="4">
        <v>2580</v>
      </c>
      <c r="L662" s="4">
        <f ca="1">RANDBETWEEN(30,87)</f>
        <v>76</v>
      </c>
      <c r="M662" s="3">
        <f ca="1">(L662/J662)</f>
        <v>3.035143769968051E-2</v>
      </c>
      <c r="N662">
        <v>48</v>
      </c>
      <c r="O662" s="18" t="str">
        <f t="shared" ca="1" si="41"/>
        <v>Understocked</v>
      </c>
      <c r="P662">
        <v>12</v>
      </c>
    </row>
    <row r="663" spans="1:17" x14ac:dyDescent="0.45">
      <c r="A663" t="s">
        <v>568</v>
      </c>
      <c r="B663" t="s">
        <v>566</v>
      </c>
      <c r="C663" t="s">
        <v>14</v>
      </c>
      <c r="D663" s="18">
        <f ca="1">RANDBETWEEN(500,1000)</f>
        <v>750</v>
      </c>
      <c r="E663" s="1">
        <v>45634</v>
      </c>
      <c r="F663">
        <v>17</v>
      </c>
      <c r="G663" s="2">
        <v>0.79</v>
      </c>
      <c r="H663" s="18">
        <f t="shared" ca="1" si="39"/>
        <v>53</v>
      </c>
      <c r="I663" s="18">
        <f t="shared" ca="1" si="40"/>
        <v>135</v>
      </c>
      <c r="J663" s="4">
        <f ca="1">K663-L663</f>
        <v>3595.8799999999997</v>
      </c>
      <c r="K663" s="4">
        <v>3661.8799999999997</v>
      </c>
      <c r="L663" s="4">
        <f ca="1">RANDBETWEEN(30,87)</f>
        <v>66</v>
      </c>
      <c r="M663" s="3">
        <f ca="1">(L663/J663)</f>
        <v>1.835433885446678E-2</v>
      </c>
      <c r="N663">
        <v>58</v>
      </c>
      <c r="O663" s="18" t="str">
        <f t="shared" ca="1" si="41"/>
        <v>Understocked</v>
      </c>
      <c r="P663">
        <v>35</v>
      </c>
    </row>
    <row r="664" spans="1:17" x14ac:dyDescent="0.45">
      <c r="A664" s="6" t="s">
        <v>12</v>
      </c>
      <c r="B664" s="9" t="s">
        <v>13</v>
      </c>
      <c r="C664" s="6" t="s">
        <v>14</v>
      </c>
      <c r="D664" s="18">
        <f ca="1">RANDBETWEEN(500,1000)</f>
        <v>837</v>
      </c>
      <c r="E664" s="19">
        <v>45438</v>
      </c>
      <c r="F664" s="18">
        <v>55</v>
      </c>
      <c r="G664" s="20">
        <v>0.44</v>
      </c>
      <c r="H664" s="18">
        <f t="shared" ca="1" si="39"/>
        <v>65</v>
      </c>
      <c r="I664" s="18">
        <f t="shared" ca="1" si="40"/>
        <v>119</v>
      </c>
      <c r="J664" s="15">
        <f ca="1">K664-L664</f>
        <v>334.59999999999997</v>
      </c>
      <c r="K664" s="15">
        <v>395.59999999999997</v>
      </c>
      <c r="L664" s="15">
        <f ca="1">RANDBETWEEN(30,87)</f>
        <v>61</v>
      </c>
      <c r="M664" s="11">
        <f ca="1">(L664/J664)</f>
        <v>0.18230723251643755</v>
      </c>
      <c r="N664" s="18">
        <v>34</v>
      </c>
      <c r="O664" s="18" t="str">
        <f t="shared" ca="1" si="41"/>
        <v>Understocked</v>
      </c>
      <c r="P664" s="11" t="str">
        <f ca="1">RANDBETWEEN(30,76)&amp;"%"</f>
        <v>54%</v>
      </c>
      <c r="Q664" s="18">
        <f>PRODUCT(K664,N664)</f>
        <v>13450.4</v>
      </c>
    </row>
    <row r="665" spans="1:17" x14ac:dyDescent="0.45">
      <c r="A665" s="6" t="s">
        <v>16</v>
      </c>
      <c r="B665" s="9" t="s">
        <v>13</v>
      </c>
      <c r="C665" s="6" t="s">
        <v>14</v>
      </c>
      <c r="D665" s="18">
        <f ca="1">RANDBETWEEN(500,1000)</f>
        <v>941</v>
      </c>
      <c r="E665" s="19">
        <v>45707</v>
      </c>
      <c r="F665" s="18">
        <v>50</v>
      </c>
      <c r="G665" s="20">
        <v>0.56999999999999995</v>
      </c>
      <c r="H665" s="18">
        <f t="shared" ca="1" si="39"/>
        <v>63</v>
      </c>
      <c r="I665" s="18">
        <f t="shared" ca="1" si="40"/>
        <v>89</v>
      </c>
      <c r="J665" s="15">
        <f ca="1">K665-L665</f>
        <v>94</v>
      </c>
      <c r="K665" s="15">
        <v>172</v>
      </c>
      <c r="L665" s="15">
        <f ca="1">RANDBETWEEN(30,87)</f>
        <v>78</v>
      </c>
      <c r="M665" s="11">
        <f ca="1">(L665/J665)</f>
        <v>0.82978723404255317</v>
      </c>
      <c r="N665" s="18">
        <v>87</v>
      </c>
      <c r="O665" s="18" t="str">
        <f t="shared" ca="1" si="41"/>
        <v>Understocked</v>
      </c>
      <c r="P665" s="11" t="str">
        <f ca="1">RANDBETWEEN(30,76)&amp;"%"</f>
        <v>76%</v>
      </c>
      <c r="Q665" s="18">
        <f>PRODUCT(K665,N665)</f>
        <v>14964</v>
      </c>
    </row>
    <row r="666" spans="1:17" x14ac:dyDescent="0.45">
      <c r="A666" s="6" t="s">
        <v>19</v>
      </c>
      <c r="B666" s="9" t="s">
        <v>20</v>
      </c>
      <c r="C666" s="6" t="s">
        <v>14</v>
      </c>
      <c r="D666" s="18">
        <f ca="1">RANDBETWEEN(500,1000)</f>
        <v>705</v>
      </c>
      <c r="E666" s="19">
        <v>45604</v>
      </c>
      <c r="F666" s="18">
        <v>76</v>
      </c>
      <c r="G666" s="20">
        <v>0.75</v>
      </c>
      <c r="H666" s="18">
        <f t="shared" ca="1" si="39"/>
        <v>80</v>
      </c>
      <c r="I666" s="18">
        <f t="shared" ca="1" si="40"/>
        <v>90</v>
      </c>
      <c r="J666" s="15">
        <f ca="1">K666-L666</f>
        <v>52</v>
      </c>
      <c r="K666" s="15">
        <v>129</v>
      </c>
      <c r="L666" s="15">
        <f ca="1">RANDBETWEEN(30,87)</f>
        <v>77</v>
      </c>
      <c r="M666" s="11">
        <f ca="1">(L666/J666)</f>
        <v>1.4807692307692308</v>
      </c>
      <c r="N666" s="18">
        <v>24</v>
      </c>
      <c r="O666" s="18" t="str">
        <f t="shared" ca="1" si="41"/>
        <v>Understocked</v>
      </c>
      <c r="P666" s="11" t="str">
        <f ca="1">RANDBETWEEN(30,76)&amp;"%"</f>
        <v>70%</v>
      </c>
      <c r="Q666" s="18">
        <f>PRODUCT(K666,N666)</f>
        <v>3096</v>
      </c>
    </row>
    <row r="667" spans="1:17" x14ac:dyDescent="0.45">
      <c r="A667" s="6" t="s">
        <v>21</v>
      </c>
      <c r="B667" s="9" t="s">
        <v>20</v>
      </c>
      <c r="C667" s="6" t="s">
        <v>14</v>
      </c>
      <c r="D667" s="18">
        <f ca="1">RANDBETWEEN(500,1000)</f>
        <v>810</v>
      </c>
      <c r="E667" s="19">
        <v>45641</v>
      </c>
      <c r="F667" s="18">
        <v>12</v>
      </c>
      <c r="G667" s="20">
        <v>0.77</v>
      </c>
      <c r="H667" s="18">
        <f t="shared" ca="1" si="39"/>
        <v>58</v>
      </c>
      <c r="I667" s="18">
        <f t="shared" ca="1" si="40"/>
        <v>151</v>
      </c>
      <c r="J667" s="15">
        <f ca="1">K667-L667</f>
        <v>548</v>
      </c>
      <c r="K667" s="15">
        <v>602</v>
      </c>
      <c r="L667" s="15">
        <f ca="1">RANDBETWEEN(30,87)</f>
        <v>54</v>
      </c>
      <c r="M667" s="11">
        <f ca="1">(L667/J667)</f>
        <v>9.8540145985401464E-2</v>
      </c>
      <c r="N667" s="18">
        <v>56</v>
      </c>
      <c r="O667" s="18" t="str">
        <f t="shared" ca="1" si="41"/>
        <v>Understocked</v>
      </c>
      <c r="P667" s="11" t="str">
        <f ca="1">RANDBETWEEN(30,76)&amp;"%"</f>
        <v>41%</v>
      </c>
      <c r="Q667" s="18">
        <f>PRODUCT(K667,N667)</f>
        <v>33712</v>
      </c>
    </row>
    <row r="668" spans="1:17" x14ac:dyDescent="0.45">
      <c r="A668" s="6" t="s">
        <v>22</v>
      </c>
      <c r="B668" s="9" t="s">
        <v>20</v>
      </c>
      <c r="C668" s="6" t="s">
        <v>14</v>
      </c>
      <c r="D668" s="18">
        <f ca="1">RANDBETWEEN(500,1000)</f>
        <v>705</v>
      </c>
      <c r="E668" s="19">
        <v>45511</v>
      </c>
      <c r="F668" s="18">
        <v>54</v>
      </c>
      <c r="G668" s="20">
        <v>0.54</v>
      </c>
      <c r="H668" s="18">
        <f t="shared" ca="1" si="39"/>
        <v>65</v>
      </c>
      <c r="I668" s="18">
        <f t="shared" ca="1" si="40"/>
        <v>75</v>
      </c>
      <c r="J668" s="15">
        <f ca="1">K668-L668</f>
        <v>130.4</v>
      </c>
      <c r="K668" s="15">
        <v>206.4</v>
      </c>
      <c r="L668" s="15">
        <f ca="1">RANDBETWEEN(30,87)</f>
        <v>76</v>
      </c>
      <c r="M668" s="11">
        <f ca="1">(L668/J668)</f>
        <v>0.58282208588957052</v>
      </c>
      <c r="N668" s="18">
        <v>60</v>
      </c>
      <c r="O668" s="18" t="str">
        <f t="shared" ca="1" si="41"/>
        <v>Understocked</v>
      </c>
      <c r="P668" s="11" t="str">
        <f ca="1">RANDBETWEEN(30,76)&amp;"%"</f>
        <v>44%</v>
      </c>
      <c r="Q668" s="18">
        <f>PRODUCT(K668,N668)</f>
        <v>12384</v>
      </c>
    </row>
    <row r="669" spans="1:17" x14ac:dyDescent="0.45">
      <c r="A669" s="6" t="s">
        <v>23</v>
      </c>
      <c r="B669" s="9" t="s">
        <v>20</v>
      </c>
      <c r="C669" s="6" t="s">
        <v>14</v>
      </c>
      <c r="D669" s="18">
        <f ca="1">RANDBETWEEN(500,1000)</f>
        <v>894</v>
      </c>
      <c r="E669" s="19">
        <v>45680</v>
      </c>
      <c r="F669" s="18">
        <v>77</v>
      </c>
      <c r="G669" s="20">
        <v>0.46</v>
      </c>
      <c r="H669" s="18">
        <f t="shared" ca="1" si="39"/>
        <v>63</v>
      </c>
      <c r="I669" s="18">
        <f t="shared" ca="1" si="40"/>
        <v>146</v>
      </c>
      <c r="J669" s="15">
        <f ca="1">K669-L669</f>
        <v>389</v>
      </c>
      <c r="K669" s="15">
        <v>430</v>
      </c>
      <c r="L669" s="15">
        <f ca="1">RANDBETWEEN(30,87)</f>
        <v>41</v>
      </c>
      <c r="M669" s="11">
        <f ca="1">(L669/J669)</f>
        <v>0.10539845758354756</v>
      </c>
      <c r="N669" s="18">
        <v>27</v>
      </c>
      <c r="O669" s="18" t="str">
        <f t="shared" ca="1" si="41"/>
        <v>Optimal</v>
      </c>
      <c r="P669" s="11" t="str">
        <f ca="1">RANDBETWEEN(30,76)&amp;"%"</f>
        <v>73%</v>
      </c>
      <c r="Q669" s="18">
        <f>PRODUCT(K669,N669)</f>
        <v>11610</v>
      </c>
    </row>
    <row r="670" spans="1:17" x14ac:dyDescent="0.45">
      <c r="A670" s="6" t="s">
        <v>24</v>
      </c>
      <c r="B670" s="9" t="s">
        <v>20</v>
      </c>
      <c r="C670" s="6" t="s">
        <v>14</v>
      </c>
      <c r="D670" s="18">
        <f ca="1">RANDBETWEEN(500,1000)</f>
        <v>839</v>
      </c>
      <c r="E670" s="19">
        <v>45590</v>
      </c>
      <c r="F670" s="18">
        <v>85</v>
      </c>
      <c r="G670" s="20">
        <v>0.56999999999999995</v>
      </c>
      <c r="H670" s="18">
        <f t="shared" ca="1" si="39"/>
        <v>80</v>
      </c>
      <c r="I670" s="18">
        <f t="shared" ca="1" si="40"/>
        <v>83</v>
      </c>
      <c r="J670" s="15">
        <f ca="1">K670-L670</f>
        <v>814</v>
      </c>
      <c r="K670" s="15">
        <v>860</v>
      </c>
      <c r="L670" s="15">
        <f ca="1">RANDBETWEEN(30,87)</f>
        <v>46</v>
      </c>
      <c r="M670" s="11">
        <f ca="1">(L670/J670)</f>
        <v>5.6511056511056514E-2</v>
      </c>
      <c r="N670" s="18">
        <v>26</v>
      </c>
      <c r="O670" s="18" t="str">
        <f t="shared" ca="1" si="41"/>
        <v>Optimal</v>
      </c>
      <c r="P670" s="11" t="str">
        <f ca="1">RANDBETWEEN(30,76)&amp;"%"</f>
        <v>46%</v>
      </c>
      <c r="Q670" s="18">
        <f>PRODUCT(K670,N670)</f>
        <v>22360</v>
      </c>
    </row>
    <row r="671" spans="1:17" x14ac:dyDescent="0.45">
      <c r="A671" s="6" t="s">
        <v>25</v>
      </c>
      <c r="B671" s="9" t="s">
        <v>20</v>
      </c>
      <c r="C671" s="6" t="s">
        <v>14</v>
      </c>
      <c r="D671" s="18">
        <f ca="1">RANDBETWEEN(500,1000)</f>
        <v>697</v>
      </c>
      <c r="E671" s="19">
        <v>45704</v>
      </c>
      <c r="F671" s="18">
        <v>79</v>
      </c>
      <c r="G671" s="20">
        <v>0.55000000000000004</v>
      </c>
      <c r="H671" s="18">
        <f t="shared" ca="1" si="39"/>
        <v>52</v>
      </c>
      <c r="I671" s="18">
        <f t="shared" ca="1" si="40"/>
        <v>172</v>
      </c>
      <c r="J671" s="15">
        <f ca="1">K671-L671</f>
        <v>694</v>
      </c>
      <c r="K671" s="15">
        <v>774</v>
      </c>
      <c r="L671" s="15">
        <f ca="1">RANDBETWEEN(30,87)</f>
        <v>80</v>
      </c>
      <c r="M671" s="11">
        <f ca="1">(L671/J671)</f>
        <v>0.11527377521613832</v>
      </c>
      <c r="N671" s="18">
        <v>83</v>
      </c>
      <c r="O671" s="18" t="str">
        <f t="shared" ca="1" si="41"/>
        <v>Optimal</v>
      </c>
      <c r="P671" s="11" t="str">
        <f ca="1">RANDBETWEEN(30,76)&amp;"%"</f>
        <v>74%</v>
      </c>
      <c r="Q671" s="18">
        <f>PRODUCT(K671,N671)</f>
        <v>64242</v>
      </c>
    </row>
    <row r="672" spans="1:17" x14ac:dyDescent="0.45">
      <c r="A672" s="6" t="s">
        <v>26</v>
      </c>
      <c r="B672" s="9" t="s">
        <v>20</v>
      </c>
      <c r="C672" s="6" t="s">
        <v>14</v>
      </c>
      <c r="D672" s="18">
        <f ca="1">RANDBETWEEN(500,1000)</f>
        <v>805</v>
      </c>
      <c r="E672" s="19">
        <v>45427</v>
      </c>
      <c r="F672" s="18">
        <v>13</v>
      </c>
      <c r="G672" s="20">
        <v>0.37</v>
      </c>
      <c r="H672" s="18">
        <f t="shared" ca="1" si="39"/>
        <v>61</v>
      </c>
      <c r="I672" s="18">
        <f t="shared" ca="1" si="40"/>
        <v>75</v>
      </c>
      <c r="J672" s="15">
        <f ca="1">K672-L672</f>
        <v>99.199999999999989</v>
      </c>
      <c r="K672" s="15">
        <v>146.19999999999999</v>
      </c>
      <c r="L672" s="15">
        <f ca="1">RANDBETWEEN(30,87)</f>
        <v>47</v>
      </c>
      <c r="M672" s="11">
        <f ca="1">(L672/J672)</f>
        <v>0.47379032258064524</v>
      </c>
      <c r="N672" s="18">
        <v>24</v>
      </c>
      <c r="O672" s="18" t="str">
        <f t="shared" ca="1" si="41"/>
        <v>Understocked</v>
      </c>
      <c r="P672" s="11" t="str">
        <f ca="1">RANDBETWEEN(30,76)&amp;"%"</f>
        <v>41%</v>
      </c>
      <c r="Q672" s="18">
        <f>PRODUCT(K672,N672)</f>
        <v>3508.7999999999997</v>
      </c>
    </row>
    <row r="673" spans="1:17" x14ac:dyDescent="0.45">
      <c r="A673" s="6" t="s">
        <v>27</v>
      </c>
      <c r="B673" s="9" t="s">
        <v>20</v>
      </c>
      <c r="C673" s="6" t="s">
        <v>14</v>
      </c>
      <c r="D673" s="18">
        <f ca="1">RANDBETWEEN(500,1000)</f>
        <v>771</v>
      </c>
      <c r="E673" s="19">
        <v>45596</v>
      </c>
      <c r="F673" s="18">
        <v>37</v>
      </c>
      <c r="G673" s="20">
        <v>0.8</v>
      </c>
      <c r="H673" s="18">
        <f t="shared" ca="1" si="39"/>
        <v>68</v>
      </c>
      <c r="I673" s="18">
        <f t="shared" ca="1" si="40"/>
        <v>78</v>
      </c>
      <c r="J673" s="15">
        <f ca="1">K673-L673</f>
        <v>716</v>
      </c>
      <c r="K673" s="15">
        <v>774</v>
      </c>
      <c r="L673" s="15">
        <f ca="1">RANDBETWEEN(30,87)</f>
        <v>58</v>
      </c>
      <c r="M673" s="11">
        <f ca="1">(L673/J673)</f>
        <v>8.1005586592178769E-2</v>
      </c>
      <c r="N673" s="18">
        <v>38</v>
      </c>
      <c r="O673" s="18" t="str">
        <f t="shared" ca="1" si="41"/>
        <v>Understocked</v>
      </c>
      <c r="P673" s="11" t="str">
        <f ca="1">RANDBETWEEN(30,76)&amp;"%"</f>
        <v>62%</v>
      </c>
      <c r="Q673" s="18">
        <f>PRODUCT(K673,N673)</f>
        <v>29412</v>
      </c>
    </row>
    <row r="674" spans="1:17" x14ac:dyDescent="0.45">
      <c r="A674" s="6" t="s">
        <v>28</v>
      </c>
      <c r="B674" s="9" t="s">
        <v>20</v>
      </c>
      <c r="C674" s="6" t="s">
        <v>14</v>
      </c>
      <c r="D674" s="18">
        <f ca="1">RANDBETWEEN(500,1000)</f>
        <v>612</v>
      </c>
      <c r="E674" s="19">
        <v>45679</v>
      </c>
      <c r="F674" s="18">
        <v>74</v>
      </c>
      <c r="G674" s="20">
        <v>0.36</v>
      </c>
      <c r="H674" s="18">
        <f t="shared" ca="1" si="39"/>
        <v>67</v>
      </c>
      <c r="I674" s="18">
        <f t="shared" ca="1" si="40"/>
        <v>188</v>
      </c>
      <c r="J674" s="15">
        <f ca="1">K674-L674</f>
        <v>807</v>
      </c>
      <c r="K674" s="15">
        <v>860</v>
      </c>
      <c r="L674" s="15">
        <f ca="1">RANDBETWEEN(30,87)</f>
        <v>53</v>
      </c>
      <c r="M674" s="11">
        <f ca="1">(L674/J674)</f>
        <v>6.5675340768277565E-2</v>
      </c>
      <c r="N674" s="18">
        <v>24</v>
      </c>
      <c r="O674" s="18" t="str">
        <f t="shared" ca="1" si="41"/>
        <v>Optimal</v>
      </c>
      <c r="P674" s="11" t="str">
        <f ca="1">RANDBETWEEN(30,76)&amp;"%"</f>
        <v>56%</v>
      </c>
      <c r="Q674" s="18">
        <f>PRODUCT(K674,N674)</f>
        <v>20640</v>
      </c>
    </row>
    <row r="675" spans="1:17" x14ac:dyDescent="0.45">
      <c r="A675" s="6" t="s">
        <v>29</v>
      </c>
      <c r="B675" s="9" t="s">
        <v>20</v>
      </c>
      <c r="C675" s="6" t="s">
        <v>14</v>
      </c>
      <c r="D675" s="18">
        <f ca="1">RANDBETWEEN(500,1000)</f>
        <v>618</v>
      </c>
      <c r="E675" s="19">
        <v>45565</v>
      </c>
      <c r="F675" s="18">
        <v>75</v>
      </c>
      <c r="G675" s="20">
        <v>0.67</v>
      </c>
      <c r="H675" s="18">
        <f t="shared" ca="1" si="39"/>
        <v>73</v>
      </c>
      <c r="I675" s="18">
        <f t="shared" ca="1" si="40"/>
        <v>156</v>
      </c>
      <c r="J675" s="15">
        <f ca="1">K675-L675</f>
        <v>169.4</v>
      </c>
      <c r="K675" s="15">
        <v>249.4</v>
      </c>
      <c r="L675" s="15">
        <f ca="1">RANDBETWEEN(30,87)</f>
        <v>80</v>
      </c>
      <c r="M675" s="11">
        <f ca="1">(L675/J675)</f>
        <v>0.47225501770956313</v>
      </c>
      <c r="N675" s="18">
        <v>43</v>
      </c>
      <c r="O675" s="18" t="str">
        <f t="shared" ca="1" si="41"/>
        <v>Optimal</v>
      </c>
      <c r="P675" s="11" t="str">
        <f ca="1">RANDBETWEEN(30,76)&amp;"%"</f>
        <v>66%</v>
      </c>
      <c r="Q675" s="18">
        <f>PRODUCT(K675,N675)</f>
        <v>10724.2</v>
      </c>
    </row>
    <row r="676" spans="1:17" x14ac:dyDescent="0.45">
      <c r="A676" s="6" t="s">
        <v>78</v>
      </c>
      <c r="B676" s="9" t="s">
        <v>79</v>
      </c>
      <c r="C676" s="6" t="s">
        <v>14</v>
      </c>
      <c r="D676" s="18">
        <f ca="1">RANDBETWEEN(500,1000)</f>
        <v>971</v>
      </c>
      <c r="E676" s="19">
        <v>45598</v>
      </c>
      <c r="F676" s="18">
        <v>34</v>
      </c>
      <c r="G676" s="20">
        <v>0.38</v>
      </c>
      <c r="H676" s="18">
        <f t="shared" ca="1" si="39"/>
        <v>70</v>
      </c>
      <c r="I676" s="18">
        <f t="shared" ca="1" si="40"/>
        <v>101</v>
      </c>
      <c r="J676" s="15">
        <f ca="1">K676-L676</f>
        <v>94.5</v>
      </c>
      <c r="K676" s="15">
        <v>150.5</v>
      </c>
      <c r="L676" s="15">
        <f ca="1">RANDBETWEEN(30,87)</f>
        <v>56</v>
      </c>
      <c r="M676" s="11">
        <f ca="1">(L676/J676)</f>
        <v>0.59259259259259256</v>
      </c>
      <c r="N676" s="18">
        <v>42</v>
      </c>
      <c r="O676" s="18" t="str">
        <f t="shared" ca="1" si="41"/>
        <v>Understocked</v>
      </c>
      <c r="P676" s="11" t="str">
        <f ca="1">RANDBETWEEN(30,76)&amp;"%"</f>
        <v>59%</v>
      </c>
      <c r="Q676" s="18">
        <f>PRODUCT(K676,N676)</f>
        <v>6321</v>
      </c>
    </row>
    <row r="677" spans="1:17" x14ac:dyDescent="0.45">
      <c r="A677" s="6" t="s">
        <v>80</v>
      </c>
      <c r="B677" s="9" t="s">
        <v>79</v>
      </c>
      <c r="C677" s="6" t="s">
        <v>14</v>
      </c>
      <c r="D677" s="18">
        <f ca="1">RANDBETWEEN(500,1000)</f>
        <v>612</v>
      </c>
      <c r="E677" s="19">
        <v>45697</v>
      </c>
      <c r="F677" s="18">
        <v>51</v>
      </c>
      <c r="G677" s="20">
        <v>0.72</v>
      </c>
      <c r="H677" s="18">
        <f t="shared" ca="1" si="39"/>
        <v>59</v>
      </c>
      <c r="I677" s="18">
        <f t="shared" ca="1" si="40"/>
        <v>86</v>
      </c>
      <c r="J677" s="15">
        <f ca="1">K677-L677</f>
        <v>990</v>
      </c>
      <c r="K677" s="15">
        <v>1032</v>
      </c>
      <c r="L677" s="15">
        <f ca="1">RANDBETWEEN(30,87)</f>
        <v>42</v>
      </c>
      <c r="M677" s="11">
        <f ca="1">(L677/J677)</f>
        <v>4.2424242424242427E-2</v>
      </c>
      <c r="N677" s="18">
        <v>73</v>
      </c>
      <c r="O677" s="18" t="str">
        <f t="shared" ca="1" si="41"/>
        <v>Understocked</v>
      </c>
      <c r="P677" s="11" t="str">
        <f ca="1">RANDBETWEEN(30,76)&amp;"%"</f>
        <v>41%</v>
      </c>
      <c r="Q677" s="18">
        <f>PRODUCT(K677,N677)</f>
        <v>75336</v>
      </c>
    </row>
    <row r="678" spans="1:17" x14ac:dyDescent="0.45">
      <c r="A678" s="6" t="s">
        <v>81</v>
      </c>
      <c r="B678" s="9" t="s">
        <v>79</v>
      </c>
      <c r="C678" s="6" t="s">
        <v>14</v>
      </c>
      <c r="D678" s="18">
        <f ca="1">RANDBETWEEN(500,1000)</f>
        <v>613</v>
      </c>
      <c r="E678" s="19">
        <v>45541</v>
      </c>
      <c r="F678" s="18">
        <v>95</v>
      </c>
      <c r="G678" s="20">
        <v>0.53</v>
      </c>
      <c r="H678" s="18">
        <f t="shared" ca="1" si="39"/>
        <v>73</v>
      </c>
      <c r="I678" s="18">
        <f t="shared" ca="1" si="40"/>
        <v>117</v>
      </c>
      <c r="J678" s="15">
        <f ca="1">K678-L678</f>
        <v>118</v>
      </c>
      <c r="K678" s="15">
        <v>172</v>
      </c>
      <c r="L678" s="15">
        <f ca="1">RANDBETWEEN(30,87)</f>
        <v>54</v>
      </c>
      <c r="M678" s="11">
        <f ca="1">(L678/J678)</f>
        <v>0.4576271186440678</v>
      </c>
      <c r="N678" s="18">
        <v>60</v>
      </c>
      <c r="O678" s="18" t="str">
        <f t="shared" ca="1" si="41"/>
        <v>Optimal</v>
      </c>
      <c r="P678" s="11" t="str">
        <f ca="1">RANDBETWEEN(30,76)&amp;"%"</f>
        <v>54%</v>
      </c>
      <c r="Q678" s="18">
        <f>PRODUCT(K678,N678)</f>
        <v>10320</v>
      </c>
    </row>
    <row r="679" spans="1:17" x14ac:dyDescent="0.45">
      <c r="A679" s="6" t="s">
        <v>82</v>
      </c>
      <c r="B679" s="9" t="s">
        <v>79</v>
      </c>
      <c r="C679" s="6" t="s">
        <v>14</v>
      </c>
      <c r="D679" s="18">
        <f ca="1">RANDBETWEEN(500,1000)</f>
        <v>711</v>
      </c>
      <c r="E679" s="19">
        <v>45477</v>
      </c>
      <c r="F679" s="18">
        <v>56</v>
      </c>
      <c r="G679" s="20">
        <v>0.38</v>
      </c>
      <c r="H679" s="18">
        <f t="shared" ca="1" si="39"/>
        <v>64</v>
      </c>
      <c r="I679" s="18">
        <f t="shared" ca="1" si="40"/>
        <v>97</v>
      </c>
      <c r="J679" s="15">
        <f ca="1">K679-L679</f>
        <v>147</v>
      </c>
      <c r="K679" s="15">
        <v>215</v>
      </c>
      <c r="L679" s="15">
        <f ca="1">RANDBETWEEN(30,87)</f>
        <v>68</v>
      </c>
      <c r="M679" s="11">
        <f ca="1">(L679/J679)</f>
        <v>0.46258503401360546</v>
      </c>
      <c r="N679" s="18">
        <v>61</v>
      </c>
      <c r="O679" s="18" t="str">
        <f t="shared" ca="1" si="41"/>
        <v>Understocked</v>
      </c>
      <c r="P679" s="11" t="str">
        <f ca="1">RANDBETWEEN(30,76)&amp;"%"</f>
        <v>63%</v>
      </c>
      <c r="Q679" s="18">
        <f>PRODUCT(K679,N679)</f>
        <v>13115</v>
      </c>
    </row>
    <row r="680" spans="1:17" x14ac:dyDescent="0.45">
      <c r="A680" s="6" t="s">
        <v>83</v>
      </c>
      <c r="B680" s="9" t="s">
        <v>79</v>
      </c>
      <c r="C680" s="6" t="s">
        <v>14</v>
      </c>
      <c r="D680" s="18">
        <f ca="1">RANDBETWEEN(500,1000)</f>
        <v>673</v>
      </c>
      <c r="E680" s="19">
        <v>45425</v>
      </c>
      <c r="F680" s="18">
        <v>86</v>
      </c>
      <c r="G680" s="20">
        <v>0.37</v>
      </c>
      <c r="H680" s="18">
        <f t="shared" ca="1" si="39"/>
        <v>73</v>
      </c>
      <c r="I680" s="18">
        <f t="shared" ca="1" si="40"/>
        <v>96</v>
      </c>
      <c r="J680" s="15">
        <f ca="1">K680-L680</f>
        <v>479</v>
      </c>
      <c r="K680" s="15">
        <v>516</v>
      </c>
      <c r="L680" s="15">
        <f ca="1">RANDBETWEEN(30,87)</f>
        <v>37</v>
      </c>
      <c r="M680" s="11">
        <f ca="1">(L680/J680)</f>
        <v>7.724425887265135E-2</v>
      </c>
      <c r="N680" s="18">
        <v>22</v>
      </c>
      <c r="O680" s="18" t="str">
        <f t="shared" ca="1" si="41"/>
        <v>Optimal</v>
      </c>
      <c r="P680" s="11" t="str">
        <f ca="1">RANDBETWEEN(30,76)&amp;"%"</f>
        <v>74%</v>
      </c>
      <c r="Q680" s="18">
        <f>PRODUCT(K680,N680)</f>
        <v>11352</v>
      </c>
    </row>
    <row r="681" spans="1:17" x14ac:dyDescent="0.45">
      <c r="A681" s="6" t="s">
        <v>84</v>
      </c>
      <c r="B681" s="9" t="s">
        <v>79</v>
      </c>
      <c r="C681" s="6" t="s">
        <v>14</v>
      </c>
      <c r="D681" s="18">
        <f ca="1">RANDBETWEEN(500,1000)</f>
        <v>516</v>
      </c>
      <c r="E681" s="19">
        <v>45589</v>
      </c>
      <c r="F681" s="18">
        <v>20</v>
      </c>
      <c r="G681" s="20">
        <v>0.36</v>
      </c>
      <c r="H681" s="18">
        <f t="shared" ca="1" si="39"/>
        <v>65</v>
      </c>
      <c r="I681" s="18">
        <f t="shared" ca="1" si="40"/>
        <v>174</v>
      </c>
      <c r="J681" s="15">
        <f ca="1">K681-L681</f>
        <v>333</v>
      </c>
      <c r="K681" s="15">
        <v>387</v>
      </c>
      <c r="L681" s="15">
        <f ca="1">RANDBETWEEN(30,87)</f>
        <v>54</v>
      </c>
      <c r="M681" s="11">
        <f ca="1">(L681/J681)</f>
        <v>0.16216216216216217</v>
      </c>
      <c r="N681" s="18">
        <v>50</v>
      </c>
      <c r="O681" s="18" t="str">
        <f t="shared" ca="1" si="41"/>
        <v>Understocked</v>
      </c>
      <c r="P681" s="11" t="str">
        <f ca="1">RANDBETWEEN(30,76)&amp;"%"</f>
        <v>40%</v>
      </c>
      <c r="Q681" s="18">
        <f>PRODUCT(K681,N681)</f>
        <v>19350</v>
      </c>
    </row>
    <row r="682" spans="1:17" x14ac:dyDescent="0.45">
      <c r="A682" s="6" t="s">
        <v>108</v>
      </c>
      <c r="B682" s="9" t="s">
        <v>109</v>
      </c>
      <c r="C682" s="6" t="s">
        <v>14</v>
      </c>
      <c r="D682" s="18">
        <f ca="1">RANDBETWEEN(500,1000)</f>
        <v>596</v>
      </c>
      <c r="E682" s="19">
        <v>45457</v>
      </c>
      <c r="F682" s="18">
        <v>15</v>
      </c>
      <c r="G682" s="20">
        <v>0.63</v>
      </c>
      <c r="H682" s="18">
        <f t="shared" ca="1" si="39"/>
        <v>68</v>
      </c>
      <c r="I682" s="18">
        <f t="shared" ca="1" si="40"/>
        <v>199</v>
      </c>
      <c r="J682" s="15">
        <f ca="1">K682-L682</f>
        <v>397</v>
      </c>
      <c r="K682" s="15">
        <v>473</v>
      </c>
      <c r="L682" s="15">
        <f ca="1">RANDBETWEEN(30,87)</f>
        <v>76</v>
      </c>
      <c r="M682" s="11">
        <f ca="1">(L682/J682)</f>
        <v>0.19143576826196473</v>
      </c>
      <c r="N682" s="18">
        <v>68</v>
      </c>
      <c r="O682" s="18" t="str">
        <f t="shared" ca="1" si="41"/>
        <v>Understocked</v>
      </c>
      <c r="P682" s="11" t="str">
        <f ca="1">RANDBETWEEN(30,76)&amp;"%"</f>
        <v>61%</v>
      </c>
      <c r="Q682" s="18">
        <f>PRODUCT(K682,N682)</f>
        <v>32164</v>
      </c>
    </row>
    <row r="683" spans="1:17" x14ac:dyDescent="0.45">
      <c r="A683" s="6" t="s">
        <v>110</v>
      </c>
      <c r="B683" s="9" t="s">
        <v>109</v>
      </c>
      <c r="C683" s="6" t="s">
        <v>14</v>
      </c>
      <c r="D683" s="18">
        <f ca="1">RANDBETWEEN(500,1000)</f>
        <v>886</v>
      </c>
      <c r="E683" s="19">
        <v>45547</v>
      </c>
      <c r="F683" s="18">
        <v>26</v>
      </c>
      <c r="G683" s="20">
        <v>0.81</v>
      </c>
      <c r="H683" s="18">
        <f t="shared" ca="1" si="39"/>
        <v>65</v>
      </c>
      <c r="I683" s="18">
        <f t="shared" ca="1" si="40"/>
        <v>111</v>
      </c>
      <c r="J683" s="15">
        <f ca="1">K683-L683</f>
        <v>165</v>
      </c>
      <c r="K683" s="15">
        <v>215</v>
      </c>
      <c r="L683" s="15">
        <f ca="1">RANDBETWEEN(30,87)</f>
        <v>50</v>
      </c>
      <c r="M683" s="11">
        <f ca="1">(L683/J683)</f>
        <v>0.30303030303030304</v>
      </c>
      <c r="N683" s="18">
        <v>54</v>
      </c>
      <c r="O683" s="18" t="str">
        <f t="shared" ca="1" si="41"/>
        <v>Understocked</v>
      </c>
      <c r="P683" s="11" t="str">
        <f ca="1">RANDBETWEEN(30,76)&amp;"%"</f>
        <v>75%</v>
      </c>
      <c r="Q683" s="18">
        <f>PRODUCT(K683,N683)</f>
        <v>11610</v>
      </c>
    </row>
    <row r="684" spans="1:17" x14ac:dyDescent="0.45">
      <c r="A684" s="6" t="s">
        <v>111</v>
      </c>
      <c r="B684" s="9" t="s">
        <v>109</v>
      </c>
      <c r="C684" s="6" t="s">
        <v>14</v>
      </c>
      <c r="D684" s="18">
        <f ca="1">RANDBETWEEN(500,1000)</f>
        <v>596</v>
      </c>
      <c r="E684" s="19">
        <v>45497</v>
      </c>
      <c r="F684" s="18">
        <v>56</v>
      </c>
      <c r="G684" s="20">
        <v>0.73</v>
      </c>
      <c r="H684" s="18">
        <f t="shared" ca="1" si="39"/>
        <v>58</v>
      </c>
      <c r="I684" s="18">
        <f t="shared" ca="1" si="40"/>
        <v>77</v>
      </c>
      <c r="J684" s="15">
        <f ca="1">K684-L684</f>
        <v>161.70000000000002</v>
      </c>
      <c r="K684" s="15">
        <v>210.70000000000002</v>
      </c>
      <c r="L684" s="15">
        <f ca="1">RANDBETWEEN(30,87)</f>
        <v>49</v>
      </c>
      <c r="M684" s="11">
        <f ca="1">(L684/J684)</f>
        <v>0.30303030303030298</v>
      </c>
      <c r="N684" s="18">
        <v>69</v>
      </c>
      <c r="O684" s="18" t="str">
        <f t="shared" ca="1" si="41"/>
        <v>Understocked</v>
      </c>
      <c r="P684" s="11" t="str">
        <f ca="1">RANDBETWEEN(30,76)&amp;"%"</f>
        <v>31%</v>
      </c>
      <c r="Q684" s="18">
        <f>PRODUCT(K684,N684)</f>
        <v>14538.300000000001</v>
      </c>
    </row>
    <row r="685" spans="1:17" x14ac:dyDescent="0.45">
      <c r="A685" s="6" t="s">
        <v>112</v>
      </c>
      <c r="B685" s="9" t="s">
        <v>109</v>
      </c>
      <c r="C685" s="6" t="s">
        <v>14</v>
      </c>
      <c r="D685" s="18">
        <f ca="1">RANDBETWEEN(500,1000)</f>
        <v>914</v>
      </c>
      <c r="E685" s="19">
        <v>45587</v>
      </c>
      <c r="F685" s="18">
        <v>55</v>
      </c>
      <c r="G685" s="20">
        <v>0.34</v>
      </c>
      <c r="H685" s="18">
        <f t="shared" ca="1" si="39"/>
        <v>55</v>
      </c>
      <c r="I685" s="18">
        <f t="shared" ca="1" si="40"/>
        <v>182</v>
      </c>
      <c r="J685" s="15">
        <f ca="1">K685-L685</f>
        <v>142</v>
      </c>
      <c r="K685" s="15">
        <v>215</v>
      </c>
      <c r="L685" s="15">
        <f ca="1">RANDBETWEEN(30,87)</f>
        <v>73</v>
      </c>
      <c r="M685" s="11">
        <f ca="1">(L685/J685)</f>
        <v>0.5140845070422535</v>
      </c>
      <c r="N685" s="18">
        <v>37</v>
      </c>
      <c r="O685" s="18" t="str">
        <f t="shared" ca="1" si="41"/>
        <v>Optimal</v>
      </c>
      <c r="P685" s="11" t="str">
        <f ca="1">RANDBETWEEN(30,76)&amp;"%"</f>
        <v>57%</v>
      </c>
      <c r="Q685" s="18">
        <f>PRODUCT(K685,N685)</f>
        <v>7955</v>
      </c>
    </row>
    <row r="686" spans="1:17" x14ac:dyDescent="0.45">
      <c r="A686" s="6" t="s">
        <v>113</v>
      </c>
      <c r="B686" s="9" t="s">
        <v>109</v>
      </c>
      <c r="C686" s="6" t="s">
        <v>14</v>
      </c>
      <c r="D686" s="18">
        <f ca="1">RANDBETWEEN(500,1000)</f>
        <v>700</v>
      </c>
      <c r="E686" s="19">
        <v>45376</v>
      </c>
      <c r="F686" s="18">
        <v>71</v>
      </c>
      <c r="G686" s="20">
        <v>0.36</v>
      </c>
      <c r="H686" s="18">
        <f t="shared" ca="1" si="39"/>
        <v>66</v>
      </c>
      <c r="I686" s="18">
        <f t="shared" ca="1" si="40"/>
        <v>157</v>
      </c>
      <c r="J686" s="15">
        <f ca="1">K686-L686</f>
        <v>313</v>
      </c>
      <c r="K686" s="15">
        <v>344</v>
      </c>
      <c r="L686" s="15">
        <f ca="1">RANDBETWEEN(30,87)</f>
        <v>31</v>
      </c>
      <c r="M686" s="11">
        <f ca="1">(L686/J686)</f>
        <v>9.9041533546325874E-2</v>
      </c>
      <c r="N686" s="18">
        <v>60</v>
      </c>
      <c r="O686" s="18" t="str">
        <f t="shared" ca="1" si="41"/>
        <v>Optimal</v>
      </c>
      <c r="P686" s="11" t="str">
        <f ca="1">RANDBETWEEN(30,76)&amp;"%"</f>
        <v>34%</v>
      </c>
      <c r="Q686" s="18">
        <f>PRODUCT(K686,N686)</f>
        <v>20640</v>
      </c>
    </row>
    <row r="687" spans="1:17" x14ac:dyDescent="0.45">
      <c r="A687" s="6" t="s">
        <v>114</v>
      </c>
      <c r="B687" s="9" t="s">
        <v>109</v>
      </c>
      <c r="C687" s="6" t="s">
        <v>14</v>
      </c>
      <c r="D687" s="18">
        <f ca="1">RANDBETWEEN(500,1000)</f>
        <v>956</v>
      </c>
      <c r="E687" s="19">
        <v>45451</v>
      </c>
      <c r="F687" s="18">
        <v>11</v>
      </c>
      <c r="G687" s="20">
        <v>0.88</v>
      </c>
      <c r="H687" s="18">
        <f t="shared" ca="1" si="39"/>
        <v>62</v>
      </c>
      <c r="I687" s="18">
        <f t="shared" ca="1" si="40"/>
        <v>186</v>
      </c>
      <c r="J687" s="15">
        <f ca="1">K687-L687</f>
        <v>133</v>
      </c>
      <c r="K687" s="15">
        <v>215</v>
      </c>
      <c r="L687" s="15">
        <f ca="1">RANDBETWEEN(30,87)</f>
        <v>82</v>
      </c>
      <c r="M687" s="11">
        <f ca="1">(L687/J687)</f>
        <v>0.61654135338345861</v>
      </c>
      <c r="N687" s="18">
        <v>29</v>
      </c>
      <c r="O687" s="18" t="str">
        <f t="shared" ca="1" si="41"/>
        <v>Understocked</v>
      </c>
      <c r="P687" s="11" t="str">
        <f ca="1">RANDBETWEEN(30,76)&amp;"%"</f>
        <v>72%</v>
      </c>
      <c r="Q687" s="18">
        <f>PRODUCT(K687,N687)</f>
        <v>6235</v>
      </c>
    </row>
    <row r="688" spans="1:17" x14ac:dyDescent="0.45">
      <c r="A688" s="6" t="s">
        <v>139</v>
      </c>
      <c r="B688" s="9" t="s">
        <v>140</v>
      </c>
      <c r="C688" s="6" t="s">
        <v>14</v>
      </c>
      <c r="D688" s="18">
        <f ca="1">RANDBETWEEN(500,1000)</f>
        <v>539</v>
      </c>
      <c r="E688" s="19">
        <v>45453</v>
      </c>
      <c r="F688" s="18">
        <v>30</v>
      </c>
      <c r="G688" s="20">
        <v>0.67</v>
      </c>
      <c r="H688" s="18">
        <f t="shared" ca="1" si="39"/>
        <v>59</v>
      </c>
      <c r="I688" s="18">
        <f t="shared" ca="1" si="40"/>
        <v>146</v>
      </c>
      <c r="J688" s="15">
        <f ca="1">K688-L688</f>
        <v>324.2</v>
      </c>
      <c r="K688" s="15">
        <v>404.2</v>
      </c>
      <c r="L688" s="15">
        <f ca="1">RANDBETWEEN(30,87)</f>
        <v>80</v>
      </c>
      <c r="M688" s="11">
        <f ca="1">(L688/J688)</f>
        <v>0.24676125848241826</v>
      </c>
      <c r="N688" s="18">
        <v>31</v>
      </c>
      <c r="O688" s="18" t="str">
        <f t="shared" ca="1" si="41"/>
        <v>Understocked</v>
      </c>
      <c r="P688" s="11" t="str">
        <f ca="1">RANDBETWEEN(30,76)&amp;"%"</f>
        <v>74%</v>
      </c>
      <c r="Q688" s="18">
        <f>PRODUCT(K688,N688)</f>
        <v>12530.199999999999</v>
      </c>
    </row>
    <row r="689" spans="1:17" x14ac:dyDescent="0.45">
      <c r="A689" s="6" t="s">
        <v>141</v>
      </c>
      <c r="B689" s="9" t="s">
        <v>140</v>
      </c>
      <c r="C689" s="6" t="s">
        <v>14</v>
      </c>
      <c r="D689" s="18">
        <f ca="1">RANDBETWEEN(500,1000)</f>
        <v>738</v>
      </c>
      <c r="E689" s="19">
        <v>45632</v>
      </c>
      <c r="F689" s="18">
        <v>34</v>
      </c>
      <c r="G689" s="20">
        <v>0.44</v>
      </c>
      <c r="H689" s="18">
        <f t="shared" ca="1" si="39"/>
        <v>52</v>
      </c>
      <c r="I689" s="18">
        <f t="shared" ca="1" si="40"/>
        <v>185</v>
      </c>
      <c r="J689" s="15">
        <f ca="1">K689-L689</f>
        <v>484</v>
      </c>
      <c r="K689" s="15">
        <v>516</v>
      </c>
      <c r="L689" s="15">
        <f ca="1">RANDBETWEEN(30,87)</f>
        <v>32</v>
      </c>
      <c r="M689" s="11">
        <f ca="1">(L689/J689)</f>
        <v>6.6115702479338845E-2</v>
      </c>
      <c r="N689" s="18">
        <v>90</v>
      </c>
      <c r="O689" s="18" t="str">
        <f t="shared" ca="1" si="41"/>
        <v>Understocked</v>
      </c>
      <c r="P689" s="11" t="str">
        <f ca="1">RANDBETWEEN(30,76)&amp;"%"</f>
        <v>68%</v>
      </c>
      <c r="Q689" s="18">
        <f>PRODUCT(K689,N689)</f>
        <v>46440</v>
      </c>
    </row>
    <row r="690" spans="1:17" x14ac:dyDescent="0.45">
      <c r="A690" s="6" t="s">
        <v>143</v>
      </c>
      <c r="B690" s="9" t="s">
        <v>140</v>
      </c>
      <c r="C690" s="6" t="s">
        <v>14</v>
      </c>
      <c r="D690" s="18">
        <f ca="1">RANDBETWEEN(500,1000)</f>
        <v>638</v>
      </c>
      <c r="E690" s="19">
        <v>45629</v>
      </c>
      <c r="F690" s="18">
        <v>11</v>
      </c>
      <c r="G690" s="20">
        <v>0.43</v>
      </c>
      <c r="H690" s="18">
        <f t="shared" ca="1" si="39"/>
        <v>77</v>
      </c>
      <c r="I690" s="18">
        <f t="shared" ca="1" si="40"/>
        <v>87</v>
      </c>
      <c r="J690" s="15">
        <f ca="1">K690-L690</f>
        <v>88</v>
      </c>
      <c r="K690" s="15">
        <v>172</v>
      </c>
      <c r="L690" s="15">
        <f ca="1">RANDBETWEEN(30,87)</f>
        <v>84</v>
      </c>
      <c r="M690" s="11">
        <f ca="1">(L690/J690)</f>
        <v>0.95454545454545459</v>
      </c>
      <c r="N690" s="18">
        <v>49</v>
      </c>
      <c r="O690" s="18" t="str">
        <f t="shared" ca="1" si="41"/>
        <v>Understocked</v>
      </c>
      <c r="P690" s="11" t="str">
        <f ca="1">RANDBETWEEN(30,76)&amp;"%"</f>
        <v>34%</v>
      </c>
      <c r="Q690" s="18">
        <f>PRODUCT(K690,N690)</f>
        <v>8428</v>
      </c>
    </row>
    <row r="691" spans="1:17" x14ac:dyDescent="0.45">
      <c r="A691" s="6" t="s">
        <v>144</v>
      </c>
      <c r="B691" s="9" t="s">
        <v>140</v>
      </c>
      <c r="C691" s="6" t="s">
        <v>14</v>
      </c>
      <c r="D691" s="18">
        <f ca="1">RANDBETWEEN(500,1000)</f>
        <v>719</v>
      </c>
      <c r="E691" s="19">
        <v>45488</v>
      </c>
      <c r="F691" s="18">
        <v>68</v>
      </c>
      <c r="G691" s="20">
        <v>0.9</v>
      </c>
      <c r="H691" s="18">
        <f t="shared" ca="1" si="39"/>
        <v>71</v>
      </c>
      <c r="I691" s="18">
        <f t="shared" ca="1" si="40"/>
        <v>91</v>
      </c>
      <c r="J691" s="15">
        <f ca="1">K691-L691</f>
        <v>113.80000000000001</v>
      </c>
      <c r="K691" s="15">
        <v>154.80000000000001</v>
      </c>
      <c r="L691" s="15">
        <f ca="1">RANDBETWEEN(30,87)</f>
        <v>41</v>
      </c>
      <c r="M691" s="11">
        <f ca="1">(L691/J691)</f>
        <v>0.36028119507908607</v>
      </c>
      <c r="N691" s="18">
        <v>37</v>
      </c>
      <c r="O691" s="18" t="str">
        <f t="shared" ca="1" si="41"/>
        <v>Understocked</v>
      </c>
      <c r="P691" s="11" t="str">
        <f ca="1">RANDBETWEEN(30,76)&amp;"%"</f>
        <v>32%</v>
      </c>
      <c r="Q691" s="18">
        <f>PRODUCT(K691,N691)</f>
        <v>5727.6</v>
      </c>
    </row>
    <row r="692" spans="1:17" x14ac:dyDescent="0.45">
      <c r="A692" s="6" t="s">
        <v>145</v>
      </c>
      <c r="B692" s="9" t="s">
        <v>140</v>
      </c>
      <c r="C692" s="6" t="s">
        <v>14</v>
      </c>
      <c r="D692" s="18">
        <f ca="1">RANDBETWEEN(500,1000)</f>
        <v>690</v>
      </c>
      <c r="E692" s="19">
        <v>45674</v>
      </c>
      <c r="F692" s="18">
        <v>79</v>
      </c>
      <c r="G692" s="20">
        <v>0.34</v>
      </c>
      <c r="H692" s="18">
        <f t="shared" ca="1" si="39"/>
        <v>73</v>
      </c>
      <c r="I692" s="18">
        <f t="shared" ca="1" si="40"/>
        <v>125</v>
      </c>
      <c r="J692" s="15">
        <f ca="1">K692-L692</f>
        <v>67</v>
      </c>
      <c r="K692" s="15">
        <v>129</v>
      </c>
      <c r="L692" s="15">
        <f ca="1">RANDBETWEEN(30,87)</f>
        <v>62</v>
      </c>
      <c r="M692" s="11">
        <f ca="1">(L692/J692)</f>
        <v>0.92537313432835822</v>
      </c>
      <c r="N692" s="18">
        <v>26</v>
      </c>
      <c r="O692" s="18" t="str">
        <f t="shared" ca="1" si="41"/>
        <v>Optimal</v>
      </c>
      <c r="P692" s="11" t="str">
        <f ca="1">RANDBETWEEN(30,76)&amp;"%"</f>
        <v>34%</v>
      </c>
      <c r="Q692" s="18">
        <f>PRODUCT(K692,N692)</f>
        <v>3354</v>
      </c>
    </row>
    <row r="693" spans="1:17" x14ac:dyDescent="0.45">
      <c r="A693" s="6" t="s">
        <v>146</v>
      </c>
      <c r="B693" s="9" t="s">
        <v>140</v>
      </c>
      <c r="C693" s="6" t="s">
        <v>14</v>
      </c>
      <c r="D693" s="18">
        <f ca="1">RANDBETWEEN(500,1000)</f>
        <v>613</v>
      </c>
      <c r="E693" s="19">
        <v>45478</v>
      </c>
      <c r="F693" s="18">
        <v>18</v>
      </c>
      <c r="G693" s="20">
        <v>0.86</v>
      </c>
      <c r="H693" s="18">
        <f t="shared" ca="1" si="39"/>
        <v>56</v>
      </c>
      <c r="I693" s="18">
        <f t="shared" ca="1" si="40"/>
        <v>174</v>
      </c>
      <c r="J693" s="15">
        <f ca="1">K693-L693</f>
        <v>353</v>
      </c>
      <c r="K693" s="15">
        <v>430</v>
      </c>
      <c r="L693" s="15">
        <f ca="1">RANDBETWEEN(30,87)</f>
        <v>77</v>
      </c>
      <c r="M693" s="11">
        <f ca="1">(L693/J693)</f>
        <v>0.21813031161473087</v>
      </c>
      <c r="N693" s="18">
        <v>85</v>
      </c>
      <c r="O693" s="18" t="str">
        <f t="shared" ca="1" si="41"/>
        <v>Understocked</v>
      </c>
      <c r="P693" s="11" t="str">
        <f ca="1">RANDBETWEEN(30,76)&amp;"%"</f>
        <v>75%</v>
      </c>
      <c r="Q693" s="18">
        <f>PRODUCT(K693,N693)</f>
        <v>36550</v>
      </c>
    </row>
    <row r="694" spans="1:17" x14ac:dyDescent="0.45">
      <c r="A694" s="6" t="s">
        <v>147</v>
      </c>
      <c r="B694" s="9" t="s">
        <v>140</v>
      </c>
      <c r="C694" s="6" t="s">
        <v>14</v>
      </c>
      <c r="D694" s="18">
        <f ca="1">RANDBETWEEN(500,1000)</f>
        <v>857</v>
      </c>
      <c r="E694" s="19">
        <v>45535</v>
      </c>
      <c r="F694" s="18">
        <v>98</v>
      </c>
      <c r="G694" s="20">
        <v>0.4</v>
      </c>
      <c r="H694" s="18">
        <f t="shared" ca="1" si="39"/>
        <v>65</v>
      </c>
      <c r="I694" s="18">
        <f t="shared" ca="1" si="40"/>
        <v>78</v>
      </c>
      <c r="J694" s="15">
        <f ca="1">K694-L694</f>
        <v>270</v>
      </c>
      <c r="K694" s="15">
        <v>344</v>
      </c>
      <c r="L694" s="15">
        <f ca="1">RANDBETWEEN(30,87)</f>
        <v>74</v>
      </c>
      <c r="M694" s="11">
        <f ca="1">(L694/J694)</f>
        <v>0.27407407407407408</v>
      </c>
      <c r="N694" s="18">
        <v>70</v>
      </c>
      <c r="O694" s="18" t="str">
        <f t="shared" ca="1" si="41"/>
        <v>Optimal</v>
      </c>
      <c r="P694" s="11" t="str">
        <f ca="1">RANDBETWEEN(30,76)&amp;"%"</f>
        <v>34%</v>
      </c>
      <c r="Q694" s="18">
        <f>PRODUCT(K694,N694)</f>
        <v>24080</v>
      </c>
    </row>
    <row r="695" spans="1:17" hidden="1" x14ac:dyDescent="0.45">
      <c r="A695" t="s">
        <v>798</v>
      </c>
      <c r="B695" t="s">
        <v>793</v>
      </c>
      <c r="C695" t="s">
        <v>45</v>
      </c>
      <c r="D695">
        <f ca="1">RANDBETWEEN(8,15)</f>
        <v>14</v>
      </c>
      <c r="E695" s="1">
        <v>45451</v>
      </c>
      <c r="F695">
        <v>26</v>
      </c>
      <c r="G695" s="2">
        <v>0.57999999999999996</v>
      </c>
      <c r="H695">
        <v>69</v>
      </c>
      <c r="I695">
        <v>90</v>
      </c>
      <c r="J695" s="4">
        <f ca="1">K695-L695</f>
        <v>-25.8</v>
      </c>
      <c r="K695" s="4">
        <v>17.2</v>
      </c>
      <c r="L695" s="4">
        <f ca="1">RANDBETWEEN(30,87)</f>
        <v>43</v>
      </c>
      <c r="M695" s="3">
        <f ca="1">(L695/J695)</f>
        <v>-1.6666666666666665</v>
      </c>
      <c r="N695">
        <v>47</v>
      </c>
      <c r="O695" t="s">
        <v>18</v>
      </c>
      <c r="P695">
        <v>73</v>
      </c>
    </row>
    <row r="696" spans="1:17" x14ac:dyDescent="0.45">
      <c r="A696" s="6" t="s">
        <v>148</v>
      </c>
      <c r="B696" s="9" t="s">
        <v>140</v>
      </c>
      <c r="C696" s="6" t="s">
        <v>14</v>
      </c>
      <c r="D696" s="18">
        <f ca="1">RANDBETWEEN(500,1000)</f>
        <v>749</v>
      </c>
      <c r="E696" s="19">
        <v>45627</v>
      </c>
      <c r="F696" s="18">
        <v>92</v>
      </c>
      <c r="G696" s="20">
        <v>0.6</v>
      </c>
      <c r="H696" s="18">
        <f t="shared" ref="H696:H709" ca="1" si="42">RANDBETWEEN(50,80)</f>
        <v>54</v>
      </c>
      <c r="I696" s="18">
        <f t="shared" ref="I696:I709" ca="1" si="43">RANDBETWEEN(70,200)</f>
        <v>113</v>
      </c>
      <c r="J696" s="15">
        <f ca="1">K696-L696</f>
        <v>228</v>
      </c>
      <c r="K696" s="15">
        <v>258</v>
      </c>
      <c r="L696" s="15">
        <f ca="1">RANDBETWEEN(30,87)</f>
        <v>30</v>
      </c>
      <c r="M696" s="11">
        <f ca="1">(L696/J696)</f>
        <v>0.13157894736842105</v>
      </c>
      <c r="N696" s="18">
        <v>38</v>
      </c>
      <c r="O696" s="18" t="str">
        <f t="shared" ref="O696:O709" ca="1" si="44">IF(F696&lt;H696,"Understocked","Optimal")</f>
        <v>Optimal</v>
      </c>
      <c r="P696" s="11" t="str">
        <f ca="1">RANDBETWEEN(30,76)&amp;"%"</f>
        <v>32%</v>
      </c>
      <c r="Q696" s="18">
        <f>PRODUCT(K696,N696)</f>
        <v>9804</v>
      </c>
    </row>
    <row r="697" spans="1:17" x14ac:dyDescent="0.45">
      <c r="A697" s="6" t="s">
        <v>149</v>
      </c>
      <c r="B697" s="9" t="s">
        <v>140</v>
      </c>
      <c r="C697" s="6" t="s">
        <v>14</v>
      </c>
      <c r="D697" s="18">
        <f ca="1">RANDBETWEEN(500,1000)</f>
        <v>749</v>
      </c>
      <c r="E697" s="19">
        <v>45674</v>
      </c>
      <c r="F697" s="18">
        <v>86</v>
      </c>
      <c r="G697" s="20">
        <v>0.89</v>
      </c>
      <c r="H697" s="18">
        <f t="shared" ca="1" si="42"/>
        <v>58</v>
      </c>
      <c r="I697" s="18">
        <f t="shared" ca="1" si="43"/>
        <v>197</v>
      </c>
      <c r="J697" s="15">
        <f ca="1">K697-L697</f>
        <v>148</v>
      </c>
      <c r="K697" s="15">
        <v>215</v>
      </c>
      <c r="L697" s="15">
        <f ca="1">RANDBETWEEN(30,87)</f>
        <v>67</v>
      </c>
      <c r="M697" s="11">
        <f ca="1">(L697/J697)</f>
        <v>0.45270270270270269</v>
      </c>
      <c r="N697" s="18">
        <v>80</v>
      </c>
      <c r="O697" s="18" t="str">
        <f t="shared" ca="1" si="44"/>
        <v>Optimal</v>
      </c>
      <c r="P697" s="11" t="str">
        <f ca="1">RANDBETWEEN(30,76)&amp;"%"</f>
        <v>57%</v>
      </c>
      <c r="Q697" s="18">
        <f>PRODUCT(K697,N697)</f>
        <v>17200</v>
      </c>
    </row>
    <row r="698" spans="1:17" x14ac:dyDescent="0.45">
      <c r="A698" s="6" t="s">
        <v>150</v>
      </c>
      <c r="B698" s="9" t="s">
        <v>140</v>
      </c>
      <c r="C698" s="6" t="s">
        <v>14</v>
      </c>
      <c r="D698" s="18">
        <f ca="1">RANDBETWEEN(500,1000)</f>
        <v>710</v>
      </c>
      <c r="E698" s="19">
        <v>45385</v>
      </c>
      <c r="F698" s="18">
        <v>85</v>
      </c>
      <c r="G698" s="20">
        <v>0.54</v>
      </c>
      <c r="H698" s="18">
        <f t="shared" ca="1" si="42"/>
        <v>65</v>
      </c>
      <c r="I698" s="18">
        <f t="shared" ca="1" si="43"/>
        <v>180</v>
      </c>
      <c r="J698" s="15">
        <f ca="1">K698-L698</f>
        <v>141</v>
      </c>
      <c r="K698" s="15">
        <v>215</v>
      </c>
      <c r="L698" s="15">
        <f ca="1">RANDBETWEEN(30,87)</f>
        <v>74</v>
      </c>
      <c r="M698" s="11">
        <f ca="1">(L698/J698)</f>
        <v>0.52482269503546097</v>
      </c>
      <c r="N698" s="18">
        <v>95</v>
      </c>
      <c r="O698" s="18" t="str">
        <f t="shared" ca="1" si="44"/>
        <v>Optimal</v>
      </c>
      <c r="P698" s="11" t="str">
        <f ca="1">RANDBETWEEN(30,76)&amp;"%"</f>
        <v>35%</v>
      </c>
      <c r="Q698" s="18">
        <f>PRODUCT(K698,N698)</f>
        <v>20425</v>
      </c>
    </row>
    <row r="699" spans="1:17" x14ac:dyDescent="0.45">
      <c r="A699" s="6" t="s">
        <v>151</v>
      </c>
      <c r="B699" s="9" t="s">
        <v>140</v>
      </c>
      <c r="C699" s="6" t="s">
        <v>14</v>
      </c>
      <c r="D699" s="18">
        <f ca="1">RANDBETWEEN(500,1000)</f>
        <v>587</v>
      </c>
      <c r="E699" s="19">
        <v>45596</v>
      </c>
      <c r="F699" s="18">
        <v>49</v>
      </c>
      <c r="G699" s="20">
        <v>0.44</v>
      </c>
      <c r="H699" s="18">
        <f t="shared" ca="1" si="42"/>
        <v>75</v>
      </c>
      <c r="I699" s="18">
        <f t="shared" ca="1" si="43"/>
        <v>149</v>
      </c>
      <c r="J699" s="15">
        <f ca="1">K699-L699</f>
        <v>357</v>
      </c>
      <c r="K699" s="15">
        <v>430</v>
      </c>
      <c r="L699" s="15">
        <f ca="1">RANDBETWEEN(30,87)</f>
        <v>73</v>
      </c>
      <c r="M699" s="11">
        <f ca="1">(L699/J699)</f>
        <v>0.20448179271708683</v>
      </c>
      <c r="N699" s="18">
        <v>75</v>
      </c>
      <c r="O699" s="18" t="str">
        <f t="shared" ca="1" si="44"/>
        <v>Understocked</v>
      </c>
      <c r="P699" s="11" t="str">
        <f ca="1">RANDBETWEEN(30,76)&amp;"%"</f>
        <v>71%</v>
      </c>
      <c r="Q699" s="18">
        <f>PRODUCT(K699,N699)</f>
        <v>32250</v>
      </c>
    </row>
    <row r="700" spans="1:17" x14ac:dyDescent="0.45">
      <c r="A700" s="6" t="s">
        <v>169</v>
      </c>
      <c r="B700" s="9" t="s">
        <v>170</v>
      </c>
      <c r="C700" s="6" t="s">
        <v>14</v>
      </c>
      <c r="D700" s="18">
        <f ca="1">RANDBETWEEN(500,1000)</f>
        <v>969</v>
      </c>
      <c r="E700" s="19">
        <v>45619</v>
      </c>
      <c r="F700" s="18">
        <v>54</v>
      </c>
      <c r="G700" s="20">
        <v>0.7</v>
      </c>
      <c r="H700" s="18">
        <f t="shared" ca="1" si="42"/>
        <v>73</v>
      </c>
      <c r="I700" s="18">
        <f t="shared" ca="1" si="43"/>
        <v>196</v>
      </c>
      <c r="J700" s="15">
        <f ca="1">K700-L700</f>
        <v>104.80000000000001</v>
      </c>
      <c r="K700" s="15">
        <v>154.80000000000001</v>
      </c>
      <c r="L700" s="15">
        <f ca="1">RANDBETWEEN(30,87)</f>
        <v>50</v>
      </c>
      <c r="M700" s="11">
        <f ca="1">(L700/J700)</f>
        <v>0.47709923664122134</v>
      </c>
      <c r="N700" s="18">
        <v>41</v>
      </c>
      <c r="O700" s="18" t="str">
        <f t="shared" ca="1" si="44"/>
        <v>Understocked</v>
      </c>
      <c r="P700" s="11" t="str">
        <f ca="1">RANDBETWEEN(30,76)&amp;"%"</f>
        <v>76%</v>
      </c>
      <c r="Q700" s="18">
        <f>PRODUCT(K700,N700)</f>
        <v>6346.8</v>
      </c>
    </row>
    <row r="701" spans="1:17" x14ac:dyDescent="0.45">
      <c r="A701" s="6" t="s">
        <v>171</v>
      </c>
      <c r="B701" s="9" t="s">
        <v>170</v>
      </c>
      <c r="C701" s="6" t="s">
        <v>14</v>
      </c>
      <c r="D701" s="18">
        <f ca="1">RANDBETWEEN(500,1000)</f>
        <v>916</v>
      </c>
      <c r="E701" s="19">
        <v>45381</v>
      </c>
      <c r="F701" s="18">
        <v>96</v>
      </c>
      <c r="G701" s="20">
        <v>0.89</v>
      </c>
      <c r="H701" s="18">
        <f t="shared" ca="1" si="42"/>
        <v>54</v>
      </c>
      <c r="I701" s="18">
        <f t="shared" ca="1" si="43"/>
        <v>198</v>
      </c>
      <c r="J701" s="15">
        <f ca="1">K701-L701</f>
        <v>171</v>
      </c>
      <c r="K701" s="15">
        <v>215</v>
      </c>
      <c r="L701" s="15">
        <f ca="1">RANDBETWEEN(30,87)</f>
        <v>44</v>
      </c>
      <c r="M701" s="11">
        <f ca="1">(L701/J701)</f>
        <v>0.25730994152046782</v>
      </c>
      <c r="N701" s="18">
        <v>81</v>
      </c>
      <c r="O701" s="18" t="str">
        <f t="shared" ca="1" si="44"/>
        <v>Optimal</v>
      </c>
      <c r="P701" s="11" t="str">
        <f ca="1">RANDBETWEEN(30,76)&amp;"%"</f>
        <v>56%</v>
      </c>
      <c r="Q701" s="18">
        <f>PRODUCT(K701,N701)</f>
        <v>17415</v>
      </c>
    </row>
    <row r="702" spans="1:17" x14ac:dyDescent="0.45">
      <c r="A702" s="6" t="s">
        <v>172</v>
      </c>
      <c r="B702" s="9" t="s">
        <v>170</v>
      </c>
      <c r="C702" s="6" t="s">
        <v>14</v>
      </c>
      <c r="D702" s="18">
        <f ca="1">RANDBETWEEN(500,1000)</f>
        <v>531</v>
      </c>
      <c r="E702" s="19">
        <v>45606</v>
      </c>
      <c r="F702" s="18">
        <v>21</v>
      </c>
      <c r="G702" s="20">
        <v>0.85</v>
      </c>
      <c r="H702" s="18">
        <f t="shared" ca="1" si="42"/>
        <v>57</v>
      </c>
      <c r="I702" s="18">
        <f t="shared" ca="1" si="43"/>
        <v>119</v>
      </c>
      <c r="J702" s="15">
        <f ca="1">K702-L702</f>
        <v>644</v>
      </c>
      <c r="K702" s="15">
        <v>688</v>
      </c>
      <c r="L702" s="15">
        <f ca="1">RANDBETWEEN(30,87)</f>
        <v>44</v>
      </c>
      <c r="M702" s="11">
        <f ca="1">(L702/J702)</f>
        <v>6.8322981366459631E-2</v>
      </c>
      <c r="N702" s="18">
        <v>38</v>
      </c>
      <c r="O702" s="18" t="str">
        <f t="shared" ca="1" si="44"/>
        <v>Understocked</v>
      </c>
      <c r="P702" s="11" t="str">
        <f ca="1">RANDBETWEEN(30,76)&amp;"%"</f>
        <v>41%</v>
      </c>
      <c r="Q702" s="18">
        <f>PRODUCT(K702,N702)</f>
        <v>26144</v>
      </c>
    </row>
    <row r="703" spans="1:17" x14ac:dyDescent="0.45">
      <c r="A703" s="6" t="s">
        <v>173</v>
      </c>
      <c r="B703" s="9" t="s">
        <v>170</v>
      </c>
      <c r="C703" s="6" t="s">
        <v>14</v>
      </c>
      <c r="D703" s="18">
        <f ca="1">RANDBETWEEN(500,1000)</f>
        <v>830</v>
      </c>
      <c r="E703" s="19">
        <v>45637</v>
      </c>
      <c r="F703" s="18">
        <v>34</v>
      </c>
      <c r="G703" s="20">
        <v>0.54</v>
      </c>
      <c r="H703" s="18">
        <f t="shared" ca="1" si="42"/>
        <v>67</v>
      </c>
      <c r="I703" s="18">
        <f t="shared" ca="1" si="43"/>
        <v>83</v>
      </c>
      <c r="J703" s="15">
        <f ca="1">K703-L703</f>
        <v>65</v>
      </c>
      <c r="K703" s="15">
        <v>129</v>
      </c>
      <c r="L703" s="15">
        <f ca="1">RANDBETWEEN(30,87)</f>
        <v>64</v>
      </c>
      <c r="M703" s="11">
        <f ca="1">(L703/J703)</f>
        <v>0.98461538461538467</v>
      </c>
      <c r="N703" s="18">
        <v>49</v>
      </c>
      <c r="O703" s="18" t="str">
        <f t="shared" ca="1" si="44"/>
        <v>Understocked</v>
      </c>
      <c r="P703" s="11" t="str">
        <f ca="1">RANDBETWEEN(30,76)&amp;"%"</f>
        <v>49%</v>
      </c>
      <c r="Q703" s="18">
        <f>PRODUCT(K703,N703)</f>
        <v>6321</v>
      </c>
    </row>
    <row r="704" spans="1:17" x14ac:dyDescent="0.45">
      <c r="A704" s="6" t="s">
        <v>174</v>
      </c>
      <c r="B704" s="9" t="s">
        <v>170</v>
      </c>
      <c r="C704" s="6" t="s">
        <v>14</v>
      </c>
      <c r="D704" s="18">
        <f ca="1">RANDBETWEEN(500,1000)</f>
        <v>694</v>
      </c>
      <c r="E704" s="19">
        <v>45558</v>
      </c>
      <c r="F704" s="18">
        <v>87</v>
      </c>
      <c r="G704" s="20">
        <v>0.35</v>
      </c>
      <c r="H704" s="18">
        <f t="shared" ca="1" si="42"/>
        <v>67</v>
      </c>
      <c r="I704" s="18">
        <f t="shared" ca="1" si="43"/>
        <v>143</v>
      </c>
      <c r="J704" s="15">
        <f ca="1">K704-L704</f>
        <v>354</v>
      </c>
      <c r="K704" s="15">
        <v>387</v>
      </c>
      <c r="L704" s="15">
        <f ca="1">RANDBETWEEN(30,87)</f>
        <v>33</v>
      </c>
      <c r="M704" s="11">
        <f ca="1">(L704/J704)</f>
        <v>9.3220338983050849E-2</v>
      </c>
      <c r="N704" s="18">
        <v>58</v>
      </c>
      <c r="O704" s="18" t="str">
        <f t="shared" ca="1" si="44"/>
        <v>Optimal</v>
      </c>
      <c r="P704" s="11" t="str">
        <f ca="1">RANDBETWEEN(30,76)&amp;"%"</f>
        <v>30%</v>
      </c>
      <c r="Q704" s="18">
        <f>PRODUCT(K704,N704)</f>
        <v>22446</v>
      </c>
    </row>
    <row r="705" spans="1:17" x14ac:dyDescent="0.45">
      <c r="A705" s="6" t="s">
        <v>175</v>
      </c>
      <c r="B705" s="9" t="s">
        <v>170</v>
      </c>
      <c r="C705" s="6" t="s">
        <v>14</v>
      </c>
      <c r="D705" s="18">
        <f ca="1">RANDBETWEEN(500,1000)</f>
        <v>765</v>
      </c>
      <c r="E705" s="19">
        <v>45633</v>
      </c>
      <c r="F705" s="18">
        <v>84</v>
      </c>
      <c r="G705" s="20">
        <v>0.5</v>
      </c>
      <c r="H705" s="18">
        <f t="shared" ca="1" si="42"/>
        <v>56</v>
      </c>
      <c r="I705" s="18">
        <f t="shared" ca="1" si="43"/>
        <v>84</v>
      </c>
      <c r="J705" s="15">
        <f ca="1">K705-L705</f>
        <v>176</v>
      </c>
      <c r="K705" s="15">
        <v>215</v>
      </c>
      <c r="L705" s="15">
        <f ca="1">RANDBETWEEN(30,87)</f>
        <v>39</v>
      </c>
      <c r="M705" s="11">
        <f ca="1">(L705/J705)</f>
        <v>0.22159090909090909</v>
      </c>
      <c r="N705" s="18">
        <v>83</v>
      </c>
      <c r="O705" s="18" t="str">
        <f t="shared" ca="1" si="44"/>
        <v>Optimal</v>
      </c>
      <c r="P705" s="11" t="str">
        <f ca="1">RANDBETWEEN(30,76)&amp;"%"</f>
        <v>48%</v>
      </c>
      <c r="Q705" s="18">
        <f>PRODUCT(K705,N705)</f>
        <v>17845</v>
      </c>
    </row>
    <row r="706" spans="1:17" x14ac:dyDescent="0.45">
      <c r="A706" s="6" t="s">
        <v>177</v>
      </c>
      <c r="B706" s="9" t="s">
        <v>170</v>
      </c>
      <c r="C706" s="6" t="s">
        <v>14</v>
      </c>
      <c r="D706" s="18">
        <f ca="1">RANDBETWEEN(500,1000)</f>
        <v>519</v>
      </c>
      <c r="E706" s="19">
        <v>45518</v>
      </c>
      <c r="F706" s="18">
        <v>99</v>
      </c>
      <c r="G706" s="20">
        <v>0.37</v>
      </c>
      <c r="H706" s="18">
        <f t="shared" ca="1" si="42"/>
        <v>75</v>
      </c>
      <c r="I706" s="18">
        <f t="shared" ca="1" si="43"/>
        <v>177</v>
      </c>
      <c r="J706" s="15">
        <f ca="1">K706-L706</f>
        <v>161.5</v>
      </c>
      <c r="K706" s="15">
        <v>236.5</v>
      </c>
      <c r="L706" s="15">
        <f ca="1">RANDBETWEEN(30,87)</f>
        <v>75</v>
      </c>
      <c r="M706" s="11">
        <f ca="1">(L706/J706)</f>
        <v>0.46439628482972134</v>
      </c>
      <c r="N706" s="18">
        <v>80</v>
      </c>
      <c r="O706" s="18" t="str">
        <f t="shared" ca="1" si="44"/>
        <v>Optimal</v>
      </c>
      <c r="P706" s="11" t="str">
        <f ca="1">RANDBETWEEN(30,76)&amp;"%"</f>
        <v>68%</v>
      </c>
      <c r="Q706" s="18">
        <f>PRODUCT(K706,N706)</f>
        <v>18920</v>
      </c>
    </row>
    <row r="707" spans="1:17" x14ac:dyDescent="0.45">
      <c r="A707" s="6" t="s">
        <v>178</v>
      </c>
      <c r="B707" s="9" t="s">
        <v>170</v>
      </c>
      <c r="C707" s="6" t="s">
        <v>14</v>
      </c>
      <c r="D707" s="18">
        <f ca="1">RANDBETWEEN(500,1000)</f>
        <v>768</v>
      </c>
      <c r="E707" s="19">
        <v>45601</v>
      </c>
      <c r="F707" s="18">
        <v>11</v>
      </c>
      <c r="G707" s="20">
        <v>0.3</v>
      </c>
      <c r="H707" s="18">
        <f t="shared" ca="1" si="42"/>
        <v>50</v>
      </c>
      <c r="I707" s="18">
        <f t="shared" ca="1" si="43"/>
        <v>94</v>
      </c>
      <c r="J707" s="15">
        <f ca="1">K707-L707</f>
        <v>143</v>
      </c>
      <c r="K707" s="15">
        <v>215</v>
      </c>
      <c r="L707" s="15">
        <f ca="1">RANDBETWEEN(30,87)</f>
        <v>72</v>
      </c>
      <c r="M707" s="11">
        <f ca="1">(L707/J707)</f>
        <v>0.50349650349650354</v>
      </c>
      <c r="N707" s="18">
        <v>77</v>
      </c>
      <c r="O707" s="18" t="str">
        <f t="shared" ca="1" si="44"/>
        <v>Understocked</v>
      </c>
      <c r="P707" s="11" t="str">
        <f ca="1">RANDBETWEEN(30,76)&amp;"%"</f>
        <v>56%</v>
      </c>
      <c r="Q707" s="18">
        <f>PRODUCT(K707,N707)</f>
        <v>16555</v>
      </c>
    </row>
    <row r="708" spans="1:17" x14ac:dyDescent="0.45">
      <c r="A708" s="6" t="s">
        <v>179</v>
      </c>
      <c r="B708" s="9" t="s">
        <v>170</v>
      </c>
      <c r="C708" s="6" t="s">
        <v>14</v>
      </c>
      <c r="D708" s="18">
        <f ca="1">RANDBETWEEN(500,1000)</f>
        <v>854</v>
      </c>
      <c r="E708" s="19">
        <v>45655</v>
      </c>
      <c r="F708" s="18">
        <v>84</v>
      </c>
      <c r="G708" s="20">
        <v>0.66</v>
      </c>
      <c r="H708" s="18">
        <f t="shared" ca="1" si="42"/>
        <v>59</v>
      </c>
      <c r="I708" s="18">
        <f t="shared" ca="1" si="43"/>
        <v>109</v>
      </c>
      <c r="J708" s="15">
        <f ca="1">K708-L708</f>
        <v>759.5</v>
      </c>
      <c r="K708" s="15">
        <v>838.5</v>
      </c>
      <c r="L708" s="15">
        <f ca="1">RANDBETWEEN(30,87)</f>
        <v>79</v>
      </c>
      <c r="M708" s="11">
        <f ca="1">(L708/J708)</f>
        <v>0.10401579986833442</v>
      </c>
      <c r="N708" s="18">
        <v>92</v>
      </c>
      <c r="O708" s="18" t="str">
        <f t="shared" ca="1" si="44"/>
        <v>Optimal</v>
      </c>
      <c r="P708" s="11" t="str">
        <f ca="1">RANDBETWEEN(30,76)&amp;"%"</f>
        <v>72%</v>
      </c>
      <c r="Q708" s="18">
        <f>PRODUCT(K708,N708)</f>
        <v>77142</v>
      </c>
    </row>
    <row r="709" spans="1:17" x14ac:dyDescent="0.45">
      <c r="A709" s="6" t="s">
        <v>180</v>
      </c>
      <c r="B709" s="9" t="s">
        <v>170</v>
      </c>
      <c r="C709" s="6" t="s">
        <v>14</v>
      </c>
      <c r="D709" s="18">
        <f ca="1">RANDBETWEEN(500,1000)</f>
        <v>753</v>
      </c>
      <c r="E709" s="19">
        <v>45360</v>
      </c>
      <c r="F709" s="18">
        <v>27</v>
      </c>
      <c r="G709" s="20">
        <v>0.61</v>
      </c>
      <c r="H709" s="18">
        <f t="shared" ca="1" si="42"/>
        <v>66</v>
      </c>
      <c r="I709" s="18">
        <f t="shared" ca="1" si="43"/>
        <v>80</v>
      </c>
      <c r="J709" s="15">
        <f ca="1">K709-L709</f>
        <v>484.20000000000005</v>
      </c>
      <c r="K709" s="15">
        <v>533.20000000000005</v>
      </c>
      <c r="L709" s="15">
        <f ca="1">RANDBETWEEN(30,87)</f>
        <v>49</v>
      </c>
      <c r="M709" s="11">
        <f ca="1">(L709/J709)</f>
        <v>0.10119785212722014</v>
      </c>
      <c r="N709" s="18">
        <v>66</v>
      </c>
      <c r="O709" s="18" t="str">
        <f t="shared" ca="1" si="44"/>
        <v>Understocked</v>
      </c>
      <c r="P709" s="11" t="str">
        <f ca="1">RANDBETWEEN(30,76)&amp;"%"</f>
        <v>62%</v>
      </c>
      <c r="Q709" s="18">
        <f>PRODUCT(K709,N709)</f>
        <v>35191.200000000004</v>
      </c>
    </row>
    <row r="710" spans="1:17" hidden="1" x14ac:dyDescent="0.45">
      <c r="A710" t="s">
        <v>814</v>
      </c>
      <c r="B710" t="s">
        <v>804</v>
      </c>
      <c r="C710" t="s">
        <v>45</v>
      </c>
      <c r="D710">
        <f ca="1">RANDBETWEEN(8,15)</f>
        <v>8</v>
      </c>
      <c r="E710" s="1">
        <v>45385</v>
      </c>
      <c r="F710">
        <v>17</v>
      </c>
      <c r="G710" s="2">
        <v>0.31</v>
      </c>
      <c r="H710">
        <v>45</v>
      </c>
      <c r="I710">
        <v>44</v>
      </c>
      <c r="J710" s="4">
        <f ca="1">K710-L710</f>
        <v>-59.8</v>
      </c>
      <c r="K710" s="4">
        <v>17.2</v>
      </c>
      <c r="L710" s="4">
        <f ca="1">RANDBETWEEN(30,87)</f>
        <v>77</v>
      </c>
      <c r="M710" s="3">
        <f ca="1">(L710/J710)</f>
        <v>-1.2876254180602007</v>
      </c>
      <c r="N710">
        <v>37</v>
      </c>
      <c r="O710" t="s">
        <v>18</v>
      </c>
      <c r="P710">
        <v>78</v>
      </c>
    </row>
    <row r="711" spans="1:17" x14ac:dyDescent="0.45">
      <c r="A711" s="6" t="s">
        <v>181</v>
      </c>
      <c r="B711" s="9" t="s">
        <v>170</v>
      </c>
      <c r="C711" s="6" t="s">
        <v>14</v>
      </c>
      <c r="D711" s="18">
        <f ca="1">RANDBETWEEN(500,1000)</f>
        <v>709</v>
      </c>
      <c r="E711" s="19">
        <v>45644</v>
      </c>
      <c r="F711" s="18">
        <v>64</v>
      </c>
      <c r="G711" s="20">
        <v>0.66</v>
      </c>
      <c r="H711" s="18">
        <f t="shared" ref="H711:H713" ca="1" si="45">RANDBETWEEN(50,80)</f>
        <v>66</v>
      </c>
      <c r="I711" s="18">
        <f t="shared" ref="I711:I713" ca="1" si="46">RANDBETWEEN(70,200)</f>
        <v>167</v>
      </c>
      <c r="J711" s="15">
        <f ca="1">K711-L711</f>
        <v>457</v>
      </c>
      <c r="K711" s="15">
        <v>516</v>
      </c>
      <c r="L711" s="15">
        <f ca="1">RANDBETWEEN(30,87)</f>
        <v>59</v>
      </c>
      <c r="M711" s="11">
        <f ca="1">(L711/J711)</f>
        <v>0.12910284463894967</v>
      </c>
      <c r="N711" s="18">
        <v>33</v>
      </c>
      <c r="O711" s="18" t="str">
        <f t="shared" ref="O711:O713" ca="1" si="47">IF(F711&lt;H711,"Understocked","Optimal")</f>
        <v>Understocked</v>
      </c>
      <c r="P711" s="11" t="str">
        <f ca="1">RANDBETWEEN(30,76)&amp;"%"</f>
        <v>61%</v>
      </c>
      <c r="Q711" s="18">
        <f>PRODUCT(K711,N711)</f>
        <v>17028</v>
      </c>
    </row>
    <row r="712" spans="1:17" x14ac:dyDescent="0.45">
      <c r="A712" s="6" t="s">
        <v>182</v>
      </c>
      <c r="B712" s="9" t="s">
        <v>170</v>
      </c>
      <c r="C712" s="6" t="s">
        <v>14</v>
      </c>
      <c r="D712" s="18">
        <f ca="1">RANDBETWEEN(500,1000)</f>
        <v>504</v>
      </c>
      <c r="E712" s="19">
        <v>45530</v>
      </c>
      <c r="F712" s="18">
        <v>25</v>
      </c>
      <c r="G712" s="20">
        <v>0.43</v>
      </c>
      <c r="H712" s="18">
        <f t="shared" ca="1" si="45"/>
        <v>67</v>
      </c>
      <c r="I712" s="18">
        <f t="shared" ca="1" si="46"/>
        <v>190</v>
      </c>
      <c r="J712" s="15">
        <f ca="1">K712-L712</f>
        <v>167.70000000000002</v>
      </c>
      <c r="K712" s="15">
        <v>210.70000000000002</v>
      </c>
      <c r="L712" s="15">
        <f ca="1">RANDBETWEEN(30,87)</f>
        <v>43</v>
      </c>
      <c r="M712" s="11">
        <f ca="1">(L712/J712)</f>
        <v>0.25641025641025639</v>
      </c>
      <c r="N712" s="18">
        <v>31</v>
      </c>
      <c r="O712" s="18" t="str">
        <f t="shared" ca="1" si="47"/>
        <v>Understocked</v>
      </c>
      <c r="P712" s="11" t="str">
        <f ca="1">RANDBETWEEN(30,76)&amp;"%"</f>
        <v>64%</v>
      </c>
      <c r="Q712" s="18">
        <f>PRODUCT(K712,N712)</f>
        <v>6531.7000000000007</v>
      </c>
    </row>
    <row r="713" spans="1:17" x14ac:dyDescent="0.45">
      <c r="A713" s="6" t="s">
        <v>183</v>
      </c>
      <c r="B713" s="9" t="s">
        <v>170</v>
      </c>
      <c r="C713" s="6" t="s">
        <v>14</v>
      </c>
      <c r="D713" s="18">
        <f ca="1">RANDBETWEEN(500,1000)</f>
        <v>877</v>
      </c>
      <c r="E713" s="19">
        <v>45590</v>
      </c>
      <c r="F713" s="18">
        <v>70</v>
      </c>
      <c r="G713" s="20">
        <v>0.31</v>
      </c>
      <c r="H713" s="18">
        <f t="shared" ca="1" si="45"/>
        <v>67</v>
      </c>
      <c r="I713" s="18">
        <f t="shared" ca="1" si="46"/>
        <v>146</v>
      </c>
      <c r="J713" s="15">
        <f ca="1">K713-L713</f>
        <v>729</v>
      </c>
      <c r="K713" s="15">
        <v>774</v>
      </c>
      <c r="L713" s="15">
        <f ca="1">RANDBETWEEN(30,87)</f>
        <v>45</v>
      </c>
      <c r="M713" s="11">
        <f ca="1">(L713/J713)</f>
        <v>6.1728395061728392E-2</v>
      </c>
      <c r="N713" s="18">
        <v>27</v>
      </c>
      <c r="O713" s="18" t="str">
        <f t="shared" ca="1" si="47"/>
        <v>Optimal</v>
      </c>
      <c r="P713" s="11" t="str">
        <f ca="1">RANDBETWEEN(30,76)&amp;"%"</f>
        <v>33%</v>
      </c>
      <c r="Q713" s="18">
        <f>PRODUCT(K713,N713)</f>
        <v>20898</v>
      </c>
    </row>
    <row r="714" spans="1:17" hidden="1" x14ac:dyDescent="0.45">
      <c r="A714" t="s">
        <v>818</v>
      </c>
      <c r="B714" t="s">
        <v>804</v>
      </c>
      <c r="C714" t="s">
        <v>45</v>
      </c>
      <c r="D714">
        <f ca="1">RANDBETWEEN(8,15)</f>
        <v>9</v>
      </c>
      <c r="E714" s="1">
        <v>45519</v>
      </c>
      <c r="F714">
        <v>52</v>
      </c>
      <c r="G714" s="2">
        <v>0.78</v>
      </c>
      <c r="H714">
        <v>8</v>
      </c>
      <c r="I714">
        <v>37</v>
      </c>
      <c r="J714" s="4">
        <f ca="1">K714-L714</f>
        <v>-16.8</v>
      </c>
      <c r="K714" s="4">
        <v>17.2</v>
      </c>
      <c r="L714" s="4">
        <f ca="1">RANDBETWEEN(30,87)</f>
        <v>34</v>
      </c>
      <c r="M714" s="3">
        <f ca="1">(L714/J714)</f>
        <v>-2.0238095238095237</v>
      </c>
      <c r="N714">
        <v>38</v>
      </c>
      <c r="O714" t="s">
        <v>15</v>
      </c>
      <c r="P714">
        <v>65</v>
      </c>
    </row>
    <row r="715" spans="1:17" x14ac:dyDescent="0.45">
      <c r="A715" s="6" t="s">
        <v>184</v>
      </c>
      <c r="B715" s="9" t="s">
        <v>170</v>
      </c>
      <c r="C715" s="6" t="s">
        <v>14</v>
      </c>
      <c r="D715" s="18">
        <f ca="1">RANDBETWEEN(500,1000)</f>
        <v>664</v>
      </c>
      <c r="E715" s="19">
        <v>45605</v>
      </c>
      <c r="F715" s="18">
        <v>71</v>
      </c>
      <c r="G715" s="20">
        <v>0.65</v>
      </c>
      <c r="H715" s="18">
        <f t="shared" ref="H715:H778" ca="1" si="48">RANDBETWEEN(50,80)</f>
        <v>73</v>
      </c>
      <c r="I715" s="18">
        <f t="shared" ref="I715:I778" ca="1" si="49">RANDBETWEEN(70,200)</f>
        <v>135</v>
      </c>
      <c r="J715" s="15">
        <f ca="1">K715-L715</f>
        <v>1645</v>
      </c>
      <c r="K715" s="15">
        <v>1720</v>
      </c>
      <c r="L715" s="15">
        <f ca="1">RANDBETWEEN(30,87)</f>
        <v>75</v>
      </c>
      <c r="M715" s="11">
        <f ca="1">(L715/J715)</f>
        <v>4.5592705167173252E-2</v>
      </c>
      <c r="N715" s="18">
        <v>34</v>
      </c>
      <c r="O715" s="18" t="str">
        <f t="shared" ref="O715:O778" ca="1" si="50">IF(F715&lt;H715,"Understocked","Optimal")</f>
        <v>Understocked</v>
      </c>
      <c r="P715" s="11" t="str">
        <f ca="1">RANDBETWEEN(30,76)&amp;"%"</f>
        <v>67%</v>
      </c>
      <c r="Q715" s="18">
        <f>PRODUCT(K715,N715)</f>
        <v>58480</v>
      </c>
    </row>
    <row r="716" spans="1:17" x14ac:dyDescent="0.45">
      <c r="A716" s="6" t="s">
        <v>185</v>
      </c>
      <c r="B716" s="9" t="s">
        <v>170</v>
      </c>
      <c r="C716" s="6" t="s">
        <v>14</v>
      </c>
      <c r="D716" s="18">
        <f ca="1">RANDBETWEEN(500,1000)</f>
        <v>793</v>
      </c>
      <c r="E716" s="19">
        <v>45350</v>
      </c>
      <c r="F716" s="18">
        <v>62</v>
      </c>
      <c r="G716" s="20">
        <v>0.45</v>
      </c>
      <c r="H716" s="18">
        <f t="shared" ca="1" si="48"/>
        <v>64</v>
      </c>
      <c r="I716" s="18">
        <f t="shared" ca="1" si="49"/>
        <v>166</v>
      </c>
      <c r="J716" s="15">
        <f ca="1">K716-L716</f>
        <v>398</v>
      </c>
      <c r="K716" s="15">
        <v>430</v>
      </c>
      <c r="L716" s="15">
        <f ca="1">RANDBETWEEN(30,87)</f>
        <v>32</v>
      </c>
      <c r="M716" s="11">
        <f ca="1">(L716/J716)</f>
        <v>8.0402010050251257E-2</v>
      </c>
      <c r="N716" s="18">
        <v>32</v>
      </c>
      <c r="O716" s="18" t="str">
        <f t="shared" ca="1" si="50"/>
        <v>Understocked</v>
      </c>
      <c r="P716" s="11" t="str">
        <f ca="1">RANDBETWEEN(30,76)&amp;"%"</f>
        <v>44%</v>
      </c>
      <c r="Q716" s="18">
        <f>PRODUCT(K716,N716)</f>
        <v>13760</v>
      </c>
    </row>
    <row r="717" spans="1:17" x14ac:dyDescent="0.45">
      <c r="A717" s="6" t="s">
        <v>186</v>
      </c>
      <c r="B717" s="9" t="s">
        <v>170</v>
      </c>
      <c r="C717" s="6" t="s">
        <v>14</v>
      </c>
      <c r="D717" s="18">
        <f ca="1">RANDBETWEEN(500,1000)</f>
        <v>507</v>
      </c>
      <c r="E717" s="19">
        <v>45618</v>
      </c>
      <c r="F717" s="18">
        <v>14</v>
      </c>
      <c r="G717" s="20">
        <v>0.33</v>
      </c>
      <c r="H717" s="18">
        <f t="shared" ca="1" si="48"/>
        <v>76</v>
      </c>
      <c r="I717" s="18">
        <f t="shared" ca="1" si="49"/>
        <v>169</v>
      </c>
      <c r="J717" s="15">
        <f ca="1">K717-L717</f>
        <v>133</v>
      </c>
      <c r="K717" s="15">
        <v>215</v>
      </c>
      <c r="L717" s="15">
        <f ca="1">RANDBETWEEN(30,87)</f>
        <v>82</v>
      </c>
      <c r="M717" s="11">
        <f ca="1">(L717/J717)</f>
        <v>0.61654135338345861</v>
      </c>
      <c r="N717" s="18">
        <v>37</v>
      </c>
      <c r="O717" s="18" t="str">
        <f t="shared" ca="1" si="50"/>
        <v>Understocked</v>
      </c>
      <c r="P717" s="11" t="str">
        <f ca="1">RANDBETWEEN(30,76)&amp;"%"</f>
        <v>54%</v>
      </c>
      <c r="Q717" s="18">
        <f>PRODUCT(K717,N717)</f>
        <v>7955</v>
      </c>
    </row>
    <row r="718" spans="1:17" x14ac:dyDescent="0.45">
      <c r="A718" s="6" t="s">
        <v>187</v>
      </c>
      <c r="B718" s="9" t="s">
        <v>170</v>
      </c>
      <c r="C718" s="6" t="s">
        <v>14</v>
      </c>
      <c r="D718" s="18">
        <f ca="1">RANDBETWEEN(500,1000)</f>
        <v>694</v>
      </c>
      <c r="E718" s="19">
        <v>45402</v>
      </c>
      <c r="F718" s="18">
        <v>63</v>
      </c>
      <c r="G718" s="20">
        <v>0.59</v>
      </c>
      <c r="H718" s="18">
        <f t="shared" ca="1" si="48"/>
        <v>53</v>
      </c>
      <c r="I718" s="18">
        <f t="shared" ca="1" si="49"/>
        <v>102</v>
      </c>
      <c r="J718" s="15">
        <f ca="1">K718-L718</f>
        <v>534</v>
      </c>
      <c r="K718" s="15">
        <v>602</v>
      </c>
      <c r="L718" s="15">
        <f ca="1">RANDBETWEEN(30,87)</f>
        <v>68</v>
      </c>
      <c r="M718" s="11">
        <f ca="1">(L718/J718)</f>
        <v>0.12734082397003746</v>
      </c>
      <c r="N718" s="18">
        <v>55</v>
      </c>
      <c r="O718" s="18" t="str">
        <f t="shared" ca="1" si="50"/>
        <v>Optimal</v>
      </c>
      <c r="P718" s="11" t="str">
        <f ca="1">RANDBETWEEN(30,76)&amp;"%"</f>
        <v>76%</v>
      </c>
      <c r="Q718" s="18">
        <f>PRODUCT(K718,N718)</f>
        <v>33110</v>
      </c>
    </row>
    <row r="719" spans="1:17" x14ac:dyDescent="0.45">
      <c r="A719" s="6" t="s">
        <v>188</v>
      </c>
      <c r="B719" s="9" t="s">
        <v>170</v>
      </c>
      <c r="C719" s="6" t="s">
        <v>14</v>
      </c>
      <c r="D719" s="18">
        <f ca="1">RANDBETWEEN(500,1000)</f>
        <v>580</v>
      </c>
      <c r="E719" s="19">
        <v>45705</v>
      </c>
      <c r="F719" s="18">
        <v>57</v>
      </c>
      <c r="G719" s="20">
        <v>0.51</v>
      </c>
      <c r="H719" s="18">
        <f t="shared" ca="1" si="48"/>
        <v>58</v>
      </c>
      <c r="I719" s="18">
        <f t="shared" ca="1" si="49"/>
        <v>112</v>
      </c>
      <c r="J719" s="15">
        <f ca="1">K719-L719</f>
        <v>305.09999999999997</v>
      </c>
      <c r="K719" s="15">
        <v>374.09999999999997</v>
      </c>
      <c r="L719" s="15">
        <f ca="1">RANDBETWEEN(30,87)</f>
        <v>69</v>
      </c>
      <c r="M719" s="11">
        <f ca="1">(L719/J719)</f>
        <v>0.22615535889872176</v>
      </c>
      <c r="N719" s="18">
        <v>53</v>
      </c>
      <c r="O719" s="18" t="str">
        <f t="shared" ca="1" si="50"/>
        <v>Understocked</v>
      </c>
      <c r="P719" s="11" t="str">
        <f ca="1">RANDBETWEEN(30,76)&amp;"%"</f>
        <v>38%</v>
      </c>
      <c r="Q719" s="18">
        <f>PRODUCT(K719,N719)</f>
        <v>19827.3</v>
      </c>
    </row>
    <row r="720" spans="1:17" x14ac:dyDescent="0.45">
      <c r="A720" s="6" t="s">
        <v>200</v>
      </c>
      <c r="B720" s="9" t="s">
        <v>201</v>
      </c>
      <c r="C720" s="6" t="s">
        <v>14</v>
      </c>
      <c r="D720" s="18">
        <f ca="1">RANDBETWEEN(500,1000)</f>
        <v>785</v>
      </c>
      <c r="E720" s="19">
        <v>45573</v>
      </c>
      <c r="F720" s="18">
        <v>79</v>
      </c>
      <c r="G720" s="20">
        <v>0.62</v>
      </c>
      <c r="H720" s="18">
        <f t="shared" ca="1" si="48"/>
        <v>59</v>
      </c>
      <c r="I720" s="18">
        <f t="shared" ca="1" si="49"/>
        <v>132</v>
      </c>
      <c r="J720" s="15">
        <f ca="1">K720-L720</f>
        <v>346</v>
      </c>
      <c r="K720" s="15">
        <v>430</v>
      </c>
      <c r="L720" s="15">
        <f ca="1">RANDBETWEEN(30,87)</f>
        <v>84</v>
      </c>
      <c r="M720" s="11">
        <f ca="1">(L720/J720)</f>
        <v>0.24277456647398843</v>
      </c>
      <c r="N720" s="18">
        <v>43</v>
      </c>
      <c r="O720" s="18" t="str">
        <f t="shared" ca="1" si="50"/>
        <v>Optimal</v>
      </c>
      <c r="P720" s="11" t="str">
        <f ca="1">RANDBETWEEN(30,76)&amp;"%"</f>
        <v>50%</v>
      </c>
      <c r="Q720" s="18">
        <f>PRODUCT(K720,N720)</f>
        <v>18490</v>
      </c>
    </row>
    <row r="721" spans="1:17" x14ac:dyDescent="0.45">
      <c r="A721" s="6" t="s">
        <v>203</v>
      </c>
      <c r="B721" s="9" t="s">
        <v>201</v>
      </c>
      <c r="C721" s="6" t="s">
        <v>14</v>
      </c>
      <c r="D721" s="18">
        <f ca="1">RANDBETWEEN(500,1000)</f>
        <v>763</v>
      </c>
      <c r="E721" s="19">
        <v>45357</v>
      </c>
      <c r="F721" s="18">
        <v>39</v>
      </c>
      <c r="G721" s="20">
        <v>0.75</v>
      </c>
      <c r="H721" s="18">
        <f t="shared" ca="1" si="48"/>
        <v>74</v>
      </c>
      <c r="I721" s="18">
        <f t="shared" ca="1" si="49"/>
        <v>132</v>
      </c>
      <c r="J721" s="15">
        <f ca="1">K721-L721</f>
        <v>470</v>
      </c>
      <c r="K721" s="15">
        <v>516</v>
      </c>
      <c r="L721" s="15">
        <f ca="1">RANDBETWEEN(30,87)</f>
        <v>46</v>
      </c>
      <c r="M721" s="11">
        <f ca="1">(L721/J721)</f>
        <v>9.7872340425531917E-2</v>
      </c>
      <c r="N721" s="18">
        <v>77</v>
      </c>
      <c r="O721" s="18" t="str">
        <f t="shared" ca="1" si="50"/>
        <v>Understocked</v>
      </c>
      <c r="P721" s="11" t="str">
        <f ca="1">RANDBETWEEN(30,76)&amp;"%"</f>
        <v>34%</v>
      </c>
      <c r="Q721" s="18">
        <f>PRODUCT(K721,N721)</f>
        <v>39732</v>
      </c>
    </row>
    <row r="722" spans="1:17" x14ac:dyDescent="0.45">
      <c r="A722" s="6" t="s">
        <v>204</v>
      </c>
      <c r="B722" s="9" t="s">
        <v>201</v>
      </c>
      <c r="C722" s="6" t="s">
        <v>14</v>
      </c>
      <c r="D722" s="18">
        <f ca="1">RANDBETWEEN(500,1000)</f>
        <v>825</v>
      </c>
      <c r="E722" s="19">
        <v>45505</v>
      </c>
      <c r="F722" s="18">
        <v>89</v>
      </c>
      <c r="G722" s="20">
        <v>0.53</v>
      </c>
      <c r="H722" s="18">
        <f t="shared" ca="1" si="48"/>
        <v>70</v>
      </c>
      <c r="I722" s="18">
        <f t="shared" ca="1" si="49"/>
        <v>177</v>
      </c>
      <c r="J722" s="15">
        <f ca="1">K722-L722</f>
        <v>92.800000000000011</v>
      </c>
      <c r="K722" s="15">
        <v>154.80000000000001</v>
      </c>
      <c r="L722" s="15">
        <f ca="1">RANDBETWEEN(30,87)</f>
        <v>62</v>
      </c>
      <c r="M722" s="11">
        <f ca="1">(L722/J722)</f>
        <v>0.66810344827586199</v>
      </c>
      <c r="N722" s="18">
        <v>64</v>
      </c>
      <c r="O722" s="18" t="str">
        <f t="shared" ca="1" si="50"/>
        <v>Optimal</v>
      </c>
      <c r="P722" s="11" t="str">
        <f ca="1">RANDBETWEEN(30,76)&amp;"%"</f>
        <v>66%</v>
      </c>
      <c r="Q722" s="18">
        <f>PRODUCT(K722,N722)</f>
        <v>9907.2000000000007</v>
      </c>
    </row>
    <row r="723" spans="1:17" x14ac:dyDescent="0.45">
      <c r="A723" s="6" t="s">
        <v>205</v>
      </c>
      <c r="B723" s="9" t="s">
        <v>201</v>
      </c>
      <c r="C723" s="6" t="s">
        <v>14</v>
      </c>
      <c r="D723" s="18">
        <f ca="1">RANDBETWEEN(500,1000)</f>
        <v>764</v>
      </c>
      <c r="E723" s="19">
        <v>45707</v>
      </c>
      <c r="F723" s="18">
        <v>17</v>
      </c>
      <c r="G723" s="20">
        <v>0.32</v>
      </c>
      <c r="H723" s="18">
        <f t="shared" ca="1" si="48"/>
        <v>73</v>
      </c>
      <c r="I723" s="18">
        <f t="shared" ca="1" si="49"/>
        <v>101</v>
      </c>
      <c r="J723" s="15">
        <f ca="1">K723-L723</f>
        <v>180</v>
      </c>
      <c r="K723" s="15">
        <v>215</v>
      </c>
      <c r="L723" s="15">
        <f ca="1">RANDBETWEEN(30,87)</f>
        <v>35</v>
      </c>
      <c r="M723" s="11">
        <f ca="1">(L723/J723)</f>
        <v>0.19444444444444445</v>
      </c>
      <c r="N723" s="18">
        <v>45</v>
      </c>
      <c r="O723" s="18" t="str">
        <f t="shared" ca="1" si="50"/>
        <v>Understocked</v>
      </c>
      <c r="P723" s="11" t="str">
        <f ca="1">RANDBETWEEN(30,76)&amp;"%"</f>
        <v>34%</v>
      </c>
      <c r="Q723" s="18">
        <f>PRODUCT(K723,N723)</f>
        <v>9675</v>
      </c>
    </row>
    <row r="724" spans="1:17" x14ac:dyDescent="0.45">
      <c r="A724" s="6" t="s">
        <v>206</v>
      </c>
      <c r="B724" s="9" t="s">
        <v>201</v>
      </c>
      <c r="C724" s="6" t="s">
        <v>14</v>
      </c>
      <c r="D724" s="18">
        <f ca="1">RANDBETWEEN(500,1000)</f>
        <v>725</v>
      </c>
      <c r="E724" s="19">
        <v>45461</v>
      </c>
      <c r="F724" s="18">
        <v>31</v>
      </c>
      <c r="G724" s="20">
        <v>0.31</v>
      </c>
      <c r="H724" s="18">
        <f t="shared" ca="1" si="48"/>
        <v>53</v>
      </c>
      <c r="I724" s="18">
        <f t="shared" ca="1" si="49"/>
        <v>132</v>
      </c>
      <c r="J724" s="15">
        <f ca="1">K724-L724</f>
        <v>131.79999999999998</v>
      </c>
      <c r="K724" s="15">
        <v>197.79999999999998</v>
      </c>
      <c r="L724" s="15">
        <f ca="1">RANDBETWEEN(30,87)</f>
        <v>66</v>
      </c>
      <c r="M724" s="11">
        <f ca="1">(L724/J724)</f>
        <v>0.50075872534142651</v>
      </c>
      <c r="N724" s="18">
        <v>25</v>
      </c>
      <c r="O724" s="18" t="str">
        <f t="shared" ca="1" si="50"/>
        <v>Understocked</v>
      </c>
      <c r="P724" s="11" t="str">
        <f ca="1">RANDBETWEEN(30,76)&amp;"%"</f>
        <v>57%</v>
      </c>
      <c r="Q724" s="18">
        <f>PRODUCT(K724,N724)</f>
        <v>4945</v>
      </c>
    </row>
    <row r="725" spans="1:17" x14ac:dyDescent="0.45">
      <c r="A725" s="6" t="s">
        <v>207</v>
      </c>
      <c r="B725" s="9" t="s">
        <v>201</v>
      </c>
      <c r="C725" s="6" t="s">
        <v>14</v>
      </c>
      <c r="D725" s="18">
        <f ca="1">RANDBETWEEN(500,1000)</f>
        <v>631</v>
      </c>
      <c r="E725" s="19">
        <v>45515</v>
      </c>
      <c r="F725" s="18">
        <v>51</v>
      </c>
      <c r="G725" s="20">
        <v>0.52</v>
      </c>
      <c r="H725" s="18">
        <f t="shared" ca="1" si="48"/>
        <v>60</v>
      </c>
      <c r="I725" s="18">
        <f t="shared" ca="1" si="49"/>
        <v>117</v>
      </c>
      <c r="J725" s="15">
        <f ca="1">K725-L725</f>
        <v>104</v>
      </c>
      <c r="K725" s="15">
        <v>172</v>
      </c>
      <c r="L725" s="15">
        <f ca="1">RANDBETWEEN(30,87)</f>
        <v>68</v>
      </c>
      <c r="M725" s="11">
        <f ca="1">(L725/J725)</f>
        <v>0.65384615384615385</v>
      </c>
      <c r="N725" s="18">
        <v>53</v>
      </c>
      <c r="O725" s="18" t="str">
        <f t="shared" ca="1" si="50"/>
        <v>Understocked</v>
      </c>
      <c r="P725" s="11" t="str">
        <f ca="1">RANDBETWEEN(30,76)&amp;"%"</f>
        <v>71%</v>
      </c>
      <c r="Q725" s="18">
        <f>PRODUCT(K725,N725)</f>
        <v>9116</v>
      </c>
    </row>
    <row r="726" spans="1:17" x14ac:dyDescent="0.45">
      <c r="A726" s="6" t="s">
        <v>208</v>
      </c>
      <c r="B726" s="9" t="s">
        <v>201</v>
      </c>
      <c r="C726" s="6" t="s">
        <v>14</v>
      </c>
      <c r="D726" s="18">
        <f ca="1">RANDBETWEEN(500,1000)</f>
        <v>571</v>
      </c>
      <c r="E726" s="19">
        <v>45369</v>
      </c>
      <c r="F726" s="18">
        <v>44</v>
      </c>
      <c r="G726" s="20">
        <v>0.8</v>
      </c>
      <c r="H726" s="18">
        <f t="shared" ca="1" si="48"/>
        <v>50</v>
      </c>
      <c r="I726" s="18">
        <f t="shared" ca="1" si="49"/>
        <v>136</v>
      </c>
      <c r="J726" s="15">
        <f ca="1">K726-L726</f>
        <v>395</v>
      </c>
      <c r="K726" s="15">
        <v>473</v>
      </c>
      <c r="L726" s="15">
        <f ca="1">RANDBETWEEN(30,87)</f>
        <v>78</v>
      </c>
      <c r="M726" s="11">
        <f ca="1">(L726/J726)</f>
        <v>0.19746835443037974</v>
      </c>
      <c r="N726" s="18">
        <v>44</v>
      </c>
      <c r="O726" s="18" t="str">
        <f t="shared" ca="1" si="50"/>
        <v>Understocked</v>
      </c>
      <c r="P726" s="11" t="str">
        <f ca="1">RANDBETWEEN(30,76)&amp;"%"</f>
        <v>49%</v>
      </c>
      <c r="Q726" s="18">
        <f>PRODUCT(K726,N726)</f>
        <v>20812</v>
      </c>
    </row>
    <row r="727" spans="1:17" x14ac:dyDescent="0.45">
      <c r="A727" s="6" t="s">
        <v>209</v>
      </c>
      <c r="B727" s="9" t="s">
        <v>201</v>
      </c>
      <c r="C727" s="6" t="s">
        <v>14</v>
      </c>
      <c r="D727" s="18">
        <f ca="1">RANDBETWEEN(500,1000)</f>
        <v>914</v>
      </c>
      <c r="E727" s="19">
        <v>45552</v>
      </c>
      <c r="F727" s="18">
        <v>44</v>
      </c>
      <c r="G727" s="20">
        <v>0.7</v>
      </c>
      <c r="H727" s="18">
        <f t="shared" ca="1" si="48"/>
        <v>77</v>
      </c>
      <c r="I727" s="18">
        <f t="shared" ca="1" si="49"/>
        <v>196</v>
      </c>
      <c r="J727" s="15">
        <f ca="1">K727-L727</f>
        <v>313</v>
      </c>
      <c r="K727" s="15">
        <v>344</v>
      </c>
      <c r="L727" s="15">
        <f ca="1">RANDBETWEEN(30,87)</f>
        <v>31</v>
      </c>
      <c r="M727" s="11">
        <f ca="1">(L727/J727)</f>
        <v>9.9041533546325874E-2</v>
      </c>
      <c r="N727" s="18">
        <v>67</v>
      </c>
      <c r="O727" s="18" t="str">
        <f t="shared" ca="1" si="50"/>
        <v>Understocked</v>
      </c>
      <c r="P727" s="11" t="str">
        <f ca="1">RANDBETWEEN(30,76)&amp;"%"</f>
        <v>31%</v>
      </c>
      <c r="Q727" s="18">
        <f>PRODUCT(K727,N727)</f>
        <v>23048</v>
      </c>
    </row>
    <row r="728" spans="1:17" x14ac:dyDescent="0.45">
      <c r="A728" s="6" t="s">
        <v>267</v>
      </c>
      <c r="B728" s="9" t="s">
        <v>261</v>
      </c>
      <c r="C728" s="6" t="s">
        <v>14</v>
      </c>
      <c r="D728" s="18">
        <f ca="1">RANDBETWEEN(500,1000)</f>
        <v>881</v>
      </c>
      <c r="E728" s="19">
        <v>45451</v>
      </c>
      <c r="F728" s="18">
        <v>40</v>
      </c>
      <c r="G728" s="20">
        <v>0.32</v>
      </c>
      <c r="H728" s="18">
        <f t="shared" ca="1" si="48"/>
        <v>76</v>
      </c>
      <c r="I728" s="18">
        <f t="shared" ca="1" si="49"/>
        <v>105</v>
      </c>
      <c r="J728" s="15">
        <f ca="1">K728-L728</f>
        <v>47</v>
      </c>
      <c r="K728" s="15">
        <v>86</v>
      </c>
      <c r="L728" s="15">
        <f ca="1">RANDBETWEEN(30,87)</f>
        <v>39</v>
      </c>
      <c r="M728" s="11">
        <f ca="1">(L728/J728)</f>
        <v>0.82978723404255317</v>
      </c>
      <c r="N728" s="18">
        <v>21</v>
      </c>
      <c r="O728" s="18" t="str">
        <f t="shared" ca="1" si="50"/>
        <v>Understocked</v>
      </c>
      <c r="P728" s="11" t="str">
        <f ca="1">RANDBETWEEN(30,76)&amp;"%"</f>
        <v>59%</v>
      </c>
      <c r="Q728" s="18">
        <f>PRODUCT(K728,N728)</f>
        <v>1806</v>
      </c>
    </row>
    <row r="729" spans="1:17" x14ac:dyDescent="0.45">
      <c r="A729" s="6" t="s">
        <v>323</v>
      </c>
      <c r="B729" s="9" t="s">
        <v>324</v>
      </c>
      <c r="C729" s="6" t="s">
        <v>14</v>
      </c>
      <c r="D729" s="18">
        <f ca="1">RANDBETWEEN(500,1000)</f>
        <v>907</v>
      </c>
      <c r="E729" s="19">
        <v>45686</v>
      </c>
      <c r="F729" s="18">
        <v>17</v>
      </c>
      <c r="G729" s="20">
        <v>0.72</v>
      </c>
      <c r="H729" s="18">
        <f t="shared" ca="1" si="48"/>
        <v>57</v>
      </c>
      <c r="I729" s="18">
        <f t="shared" ca="1" si="49"/>
        <v>120</v>
      </c>
      <c r="J729" s="15">
        <f ca="1">K729-L729</f>
        <v>344</v>
      </c>
      <c r="K729" s="15">
        <v>430</v>
      </c>
      <c r="L729" s="15">
        <f ca="1">RANDBETWEEN(30,87)</f>
        <v>86</v>
      </c>
      <c r="M729" s="11">
        <f ca="1">(L729/J729)</f>
        <v>0.25</v>
      </c>
      <c r="N729" s="18">
        <v>76</v>
      </c>
      <c r="O729" s="18" t="str">
        <f t="shared" ca="1" si="50"/>
        <v>Understocked</v>
      </c>
      <c r="P729" s="11" t="str">
        <f ca="1">RANDBETWEEN(30,76)&amp;"%"</f>
        <v>34%</v>
      </c>
      <c r="Q729" s="18">
        <f>PRODUCT(K729,N729)</f>
        <v>32680</v>
      </c>
    </row>
    <row r="730" spans="1:17" x14ac:dyDescent="0.45">
      <c r="A730" s="6" t="s">
        <v>325</v>
      </c>
      <c r="B730" s="9" t="s">
        <v>324</v>
      </c>
      <c r="C730" s="6" t="s">
        <v>14</v>
      </c>
      <c r="D730" s="18">
        <f ca="1">RANDBETWEEN(500,1000)</f>
        <v>677</v>
      </c>
      <c r="E730" s="19">
        <v>45561</v>
      </c>
      <c r="F730" s="18">
        <v>51</v>
      </c>
      <c r="G730" s="20">
        <v>0.9</v>
      </c>
      <c r="H730" s="18">
        <f t="shared" ca="1" si="48"/>
        <v>61</v>
      </c>
      <c r="I730" s="18">
        <f t="shared" ca="1" si="49"/>
        <v>124</v>
      </c>
      <c r="J730" s="15">
        <f ca="1">K730-L730</f>
        <v>456</v>
      </c>
      <c r="K730" s="15">
        <v>516</v>
      </c>
      <c r="L730" s="15">
        <f ca="1">RANDBETWEEN(30,87)</f>
        <v>60</v>
      </c>
      <c r="M730" s="11">
        <f ca="1">(L730/J730)</f>
        <v>0.13157894736842105</v>
      </c>
      <c r="N730" s="18">
        <v>21</v>
      </c>
      <c r="O730" s="18" t="str">
        <f t="shared" ca="1" si="50"/>
        <v>Understocked</v>
      </c>
      <c r="P730" s="11" t="str">
        <f ca="1">RANDBETWEEN(30,76)&amp;"%"</f>
        <v>75%</v>
      </c>
      <c r="Q730" s="18">
        <f>PRODUCT(K730,N730)</f>
        <v>10836</v>
      </c>
    </row>
    <row r="731" spans="1:17" x14ac:dyDescent="0.45">
      <c r="A731" s="6" t="s">
        <v>326</v>
      </c>
      <c r="B731" s="9" t="s">
        <v>324</v>
      </c>
      <c r="C731" s="6" t="s">
        <v>14</v>
      </c>
      <c r="D731" s="18">
        <f ca="1">RANDBETWEEN(500,1000)</f>
        <v>758</v>
      </c>
      <c r="E731" s="19">
        <v>45501</v>
      </c>
      <c r="F731" s="18">
        <v>20</v>
      </c>
      <c r="G731" s="20">
        <v>0.78</v>
      </c>
      <c r="H731" s="18">
        <f t="shared" ca="1" si="48"/>
        <v>54</v>
      </c>
      <c r="I731" s="18">
        <f t="shared" ca="1" si="49"/>
        <v>101</v>
      </c>
      <c r="J731" s="15">
        <f ca="1">K731-L731</f>
        <v>179</v>
      </c>
      <c r="K731" s="15">
        <v>258</v>
      </c>
      <c r="L731" s="15">
        <f ca="1">RANDBETWEEN(30,87)</f>
        <v>79</v>
      </c>
      <c r="M731" s="11">
        <f ca="1">(L731/J731)</f>
        <v>0.44134078212290501</v>
      </c>
      <c r="N731" s="18">
        <v>71</v>
      </c>
      <c r="O731" s="18" t="str">
        <f t="shared" ca="1" si="50"/>
        <v>Understocked</v>
      </c>
      <c r="P731" s="11" t="str">
        <f ca="1">RANDBETWEEN(30,76)&amp;"%"</f>
        <v>42%</v>
      </c>
      <c r="Q731" s="18">
        <f>PRODUCT(K731,N731)</f>
        <v>18318</v>
      </c>
    </row>
    <row r="732" spans="1:17" x14ac:dyDescent="0.45">
      <c r="A732" s="6" t="s">
        <v>327</v>
      </c>
      <c r="B732" s="9" t="s">
        <v>324</v>
      </c>
      <c r="C732" s="6" t="s">
        <v>14</v>
      </c>
      <c r="D732" s="18">
        <f ca="1">RANDBETWEEN(500,1000)</f>
        <v>693</v>
      </c>
      <c r="E732" s="19">
        <v>45647</v>
      </c>
      <c r="F732" s="18">
        <v>91</v>
      </c>
      <c r="G732" s="20">
        <v>0.36</v>
      </c>
      <c r="H732" s="18">
        <f t="shared" ca="1" si="48"/>
        <v>67</v>
      </c>
      <c r="I732" s="18">
        <f t="shared" ca="1" si="49"/>
        <v>85</v>
      </c>
      <c r="J732" s="15">
        <f ca="1">K732-L732</f>
        <v>299.7</v>
      </c>
      <c r="K732" s="15">
        <v>382.7</v>
      </c>
      <c r="L732" s="15">
        <f ca="1">RANDBETWEEN(30,87)</f>
        <v>83</v>
      </c>
      <c r="M732" s="11">
        <f ca="1">(L732/J732)</f>
        <v>0.27694361027694364</v>
      </c>
      <c r="N732" s="18">
        <v>48</v>
      </c>
      <c r="O732" s="18" t="str">
        <f t="shared" ca="1" si="50"/>
        <v>Optimal</v>
      </c>
      <c r="P732" s="11" t="str">
        <f ca="1">RANDBETWEEN(30,76)&amp;"%"</f>
        <v>34%</v>
      </c>
      <c r="Q732" s="18">
        <f>PRODUCT(K732,N732)</f>
        <v>18369.599999999999</v>
      </c>
    </row>
    <row r="733" spans="1:17" x14ac:dyDescent="0.45">
      <c r="A733" s="6" t="s">
        <v>328</v>
      </c>
      <c r="B733" s="9" t="s">
        <v>324</v>
      </c>
      <c r="C733" s="6" t="s">
        <v>14</v>
      </c>
      <c r="D733" s="18">
        <f ca="1">RANDBETWEEN(500,1000)</f>
        <v>541</v>
      </c>
      <c r="E733" s="19">
        <v>45388</v>
      </c>
      <c r="F733" s="18">
        <v>49</v>
      </c>
      <c r="G733" s="20">
        <v>0.41</v>
      </c>
      <c r="H733" s="18">
        <f t="shared" ca="1" si="48"/>
        <v>52</v>
      </c>
      <c r="I733" s="18">
        <f t="shared" ca="1" si="49"/>
        <v>187</v>
      </c>
      <c r="J733" s="15">
        <f ca="1">K733-L733</f>
        <v>274</v>
      </c>
      <c r="K733" s="15">
        <v>340</v>
      </c>
      <c r="L733" s="15">
        <f ca="1">RANDBETWEEN(30,87)</f>
        <v>66</v>
      </c>
      <c r="M733" s="11">
        <f ca="1">(L733/J733)</f>
        <v>0.24087591240875914</v>
      </c>
      <c r="N733" s="18">
        <v>93</v>
      </c>
      <c r="O733" s="18" t="str">
        <f t="shared" ca="1" si="50"/>
        <v>Understocked</v>
      </c>
      <c r="P733" s="11" t="str">
        <f ca="1">RANDBETWEEN(30,76)&amp;"%"</f>
        <v>65%</v>
      </c>
      <c r="Q733" s="18">
        <f>PRODUCT(K733,N733)</f>
        <v>31620</v>
      </c>
    </row>
    <row r="734" spans="1:17" x14ac:dyDescent="0.45">
      <c r="A734" s="6" t="s">
        <v>565</v>
      </c>
      <c r="B734" s="9" t="s">
        <v>566</v>
      </c>
      <c r="C734" s="6" t="s">
        <v>14</v>
      </c>
      <c r="D734" s="18">
        <f ca="1">RANDBETWEEN(500,1000)</f>
        <v>705</v>
      </c>
      <c r="E734" s="19">
        <v>45477</v>
      </c>
      <c r="F734" s="18">
        <v>53</v>
      </c>
      <c r="G734" s="20">
        <v>0.6</v>
      </c>
      <c r="H734" s="18">
        <f t="shared" ca="1" si="48"/>
        <v>65</v>
      </c>
      <c r="I734" s="18">
        <f t="shared" ca="1" si="49"/>
        <v>114</v>
      </c>
      <c r="J734" s="15">
        <f ca="1">K734-L734</f>
        <v>51</v>
      </c>
      <c r="K734" s="15">
        <v>129</v>
      </c>
      <c r="L734" s="15">
        <f ca="1">RANDBETWEEN(30,87)</f>
        <v>78</v>
      </c>
      <c r="M734" s="11">
        <f ca="1">(L734/J734)</f>
        <v>1.5294117647058822</v>
      </c>
      <c r="N734" s="18">
        <v>100</v>
      </c>
      <c r="O734" s="18" t="str">
        <f t="shared" ca="1" si="50"/>
        <v>Understocked</v>
      </c>
      <c r="P734" s="11" t="str">
        <f ca="1">RANDBETWEEN(30,76)&amp;"%"</f>
        <v>34%</v>
      </c>
      <c r="Q734" s="18">
        <f>PRODUCT(K734,N734)</f>
        <v>12900</v>
      </c>
    </row>
    <row r="735" spans="1:17" x14ac:dyDescent="0.45">
      <c r="A735" s="6" t="s">
        <v>567</v>
      </c>
      <c r="B735" s="9" t="s">
        <v>566</v>
      </c>
      <c r="C735" s="6" t="s">
        <v>14</v>
      </c>
      <c r="D735" s="18">
        <f ca="1">RANDBETWEEN(500,1000)</f>
        <v>616</v>
      </c>
      <c r="E735" s="19">
        <v>45392</v>
      </c>
      <c r="F735" s="18">
        <v>62</v>
      </c>
      <c r="G735" s="20">
        <v>0.43</v>
      </c>
      <c r="H735" s="18">
        <f t="shared" ca="1" si="48"/>
        <v>51</v>
      </c>
      <c r="I735" s="18">
        <f t="shared" ca="1" si="49"/>
        <v>73</v>
      </c>
      <c r="J735" s="15">
        <f ca="1">K735-L735</f>
        <v>171</v>
      </c>
      <c r="K735" s="15">
        <v>215</v>
      </c>
      <c r="L735" s="15">
        <f ca="1">RANDBETWEEN(30,87)</f>
        <v>44</v>
      </c>
      <c r="M735" s="11">
        <f ca="1">(L735/J735)</f>
        <v>0.25730994152046782</v>
      </c>
      <c r="N735" s="18">
        <v>31</v>
      </c>
      <c r="O735" s="18" t="str">
        <f t="shared" ca="1" si="50"/>
        <v>Optimal</v>
      </c>
      <c r="P735" s="11" t="str">
        <f ca="1">RANDBETWEEN(30,76)&amp;"%"</f>
        <v>44%</v>
      </c>
      <c r="Q735" s="18">
        <f>PRODUCT(K735,N735)</f>
        <v>6665</v>
      </c>
    </row>
    <row r="736" spans="1:17" x14ac:dyDescent="0.45">
      <c r="A736" s="6" t="s">
        <v>569</v>
      </c>
      <c r="B736" s="9" t="s">
        <v>566</v>
      </c>
      <c r="C736" s="6" t="s">
        <v>14</v>
      </c>
      <c r="D736" s="18">
        <f ca="1">RANDBETWEEN(500,1000)</f>
        <v>942</v>
      </c>
      <c r="E736" s="19">
        <v>45475</v>
      </c>
      <c r="F736" s="18">
        <v>20</v>
      </c>
      <c r="G736" s="20">
        <v>0.31</v>
      </c>
      <c r="H736" s="18">
        <f t="shared" ca="1" si="48"/>
        <v>68</v>
      </c>
      <c r="I736" s="18">
        <f t="shared" ca="1" si="49"/>
        <v>100</v>
      </c>
      <c r="J736" s="15">
        <f ca="1">K736-L736</f>
        <v>78</v>
      </c>
      <c r="K736" s="15">
        <v>129</v>
      </c>
      <c r="L736" s="15">
        <f ca="1">RANDBETWEEN(30,87)</f>
        <v>51</v>
      </c>
      <c r="M736" s="11">
        <f ca="1">(L736/J736)</f>
        <v>0.65384615384615385</v>
      </c>
      <c r="N736" s="18">
        <v>78</v>
      </c>
      <c r="O736" s="18" t="str">
        <f t="shared" ca="1" si="50"/>
        <v>Understocked</v>
      </c>
      <c r="P736" s="11" t="str">
        <f ca="1">RANDBETWEEN(30,76)&amp;"%"</f>
        <v>34%</v>
      </c>
      <c r="Q736" s="18">
        <f>PRODUCT(K736,N736)</f>
        <v>10062</v>
      </c>
    </row>
    <row r="737" spans="1:17" x14ac:dyDescent="0.45">
      <c r="A737" s="6" t="s">
        <v>570</v>
      </c>
      <c r="B737" s="9" t="s">
        <v>566</v>
      </c>
      <c r="C737" s="6" t="s">
        <v>14</v>
      </c>
      <c r="D737" s="18">
        <f ca="1">RANDBETWEEN(500,1000)</f>
        <v>910</v>
      </c>
      <c r="E737" s="19">
        <v>45520</v>
      </c>
      <c r="F737" s="18">
        <v>46</v>
      </c>
      <c r="G737" s="20">
        <v>0.36</v>
      </c>
      <c r="H737" s="18">
        <f t="shared" ca="1" si="48"/>
        <v>76</v>
      </c>
      <c r="I737" s="18">
        <f t="shared" ca="1" si="49"/>
        <v>187</v>
      </c>
      <c r="J737" s="15">
        <f ca="1">K737-L737</f>
        <v>461</v>
      </c>
      <c r="K737" s="15">
        <v>516</v>
      </c>
      <c r="L737" s="15">
        <f ca="1">RANDBETWEEN(30,87)</f>
        <v>55</v>
      </c>
      <c r="M737" s="11">
        <f ca="1">(L737/J737)</f>
        <v>0.1193058568329718</v>
      </c>
      <c r="N737" s="18">
        <v>36</v>
      </c>
      <c r="O737" s="18" t="str">
        <f t="shared" ca="1" si="50"/>
        <v>Understocked</v>
      </c>
      <c r="P737" s="11" t="str">
        <f ca="1">RANDBETWEEN(30,76)&amp;"%"</f>
        <v>43%</v>
      </c>
      <c r="Q737" s="18">
        <f>PRODUCT(K737,N737)</f>
        <v>18576</v>
      </c>
    </row>
    <row r="738" spans="1:17" x14ac:dyDescent="0.45">
      <c r="A738" s="6" t="s">
        <v>571</v>
      </c>
      <c r="B738" s="9" t="s">
        <v>566</v>
      </c>
      <c r="C738" s="6" t="s">
        <v>14</v>
      </c>
      <c r="D738" s="18">
        <f ca="1">RANDBETWEEN(500,1000)</f>
        <v>867</v>
      </c>
      <c r="E738" s="19">
        <v>45528</v>
      </c>
      <c r="F738" s="18">
        <v>91</v>
      </c>
      <c r="G738" s="20">
        <v>0.45</v>
      </c>
      <c r="H738" s="18">
        <f t="shared" ca="1" si="48"/>
        <v>62</v>
      </c>
      <c r="I738" s="18">
        <f t="shared" ca="1" si="49"/>
        <v>184</v>
      </c>
      <c r="J738" s="15">
        <f ca="1">K738-L738</f>
        <v>518</v>
      </c>
      <c r="K738" s="15">
        <v>559</v>
      </c>
      <c r="L738" s="15">
        <f ca="1">RANDBETWEEN(30,87)</f>
        <v>41</v>
      </c>
      <c r="M738" s="11">
        <f ca="1">(L738/J738)</f>
        <v>7.9150579150579145E-2</v>
      </c>
      <c r="N738" s="18">
        <v>51</v>
      </c>
      <c r="O738" s="18" t="str">
        <f t="shared" ca="1" si="50"/>
        <v>Optimal</v>
      </c>
      <c r="P738" s="11" t="str">
        <f ca="1">RANDBETWEEN(30,76)&amp;"%"</f>
        <v>34%</v>
      </c>
      <c r="Q738" s="18">
        <f>PRODUCT(K738,N738)</f>
        <v>28509</v>
      </c>
    </row>
    <row r="739" spans="1:17" x14ac:dyDescent="0.45">
      <c r="A739" s="6" t="s">
        <v>572</v>
      </c>
      <c r="B739" s="9" t="s">
        <v>566</v>
      </c>
      <c r="C739" s="6" t="s">
        <v>14</v>
      </c>
      <c r="D739" s="18">
        <f ca="1">RANDBETWEEN(500,1000)</f>
        <v>663</v>
      </c>
      <c r="E739" s="19">
        <v>45594</v>
      </c>
      <c r="F739" s="18">
        <v>26</v>
      </c>
      <c r="G739" s="20">
        <v>0.73</v>
      </c>
      <c r="H739" s="18">
        <f t="shared" ca="1" si="48"/>
        <v>61</v>
      </c>
      <c r="I739" s="18">
        <f t="shared" ca="1" si="49"/>
        <v>125</v>
      </c>
      <c r="J739" s="15">
        <f ca="1">K739-L739</f>
        <v>148.29999999999998</v>
      </c>
      <c r="K739" s="15">
        <v>219.29999999999998</v>
      </c>
      <c r="L739" s="15">
        <f ca="1">RANDBETWEEN(30,87)</f>
        <v>71</v>
      </c>
      <c r="M739" s="11">
        <f ca="1">(L739/J739)</f>
        <v>0.47875927174645994</v>
      </c>
      <c r="N739" s="18">
        <v>75</v>
      </c>
      <c r="O739" s="18" t="str">
        <f t="shared" ca="1" si="50"/>
        <v>Understocked</v>
      </c>
      <c r="P739" s="11" t="str">
        <f ca="1">RANDBETWEEN(30,76)&amp;"%"</f>
        <v>75%</v>
      </c>
      <c r="Q739" s="18">
        <f>PRODUCT(K739,N739)</f>
        <v>16447.5</v>
      </c>
    </row>
    <row r="740" spans="1:17" x14ac:dyDescent="0.45">
      <c r="A740" s="6" t="s">
        <v>573</v>
      </c>
      <c r="B740" s="9" t="s">
        <v>566</v>
      </c>
      <c r="C740" s="6" t="s">
        <v>14</v>
      </c>
      <c r="D740" s="18">
        <f ca="1">RANDBETWEEN(500,1000)</f>
        <v>560</v>
      </c>
      <c r="E740" s="19">
        <v>45379</v>
      </c>
      <c r="F740" s="18">
        <v>50</v>
      </c>
      <c r="G740" s="20">
        <v>0.66</v>
      </c>
      <c r="H740" s="18">
        <f t="shared" ca="1" si="48"/>
        <v>53</v>
      </c>
      <c r="I740" s="18">
        <f t="shared" ca="1" si="49"/>
        <v>176</v>
      </c>
      <c r="J740" s="15">
        <f ca="1">K740-L740</f>
        <v>767</v>
      </c>
      <c r="K740" s="15">
        <v>817</v>
      </c>
      <c r="L740" s="15">
        <f ca="1">RANDBETWEEN(30,87)</f>
        <v>50</v>
      </c>
      <c r="M740" s="11">
        <f ca="1">(L740/J740)</f>
        <v>6.51890482398957E-2</v>
      </c>
      <c r="N740" s="18">
        <v>52</v>
      </c>
      <c r="O740" s="18" t="str">
        <f t="shared" ca="1" si="50"/>
        <v>Understocked</v>
      </c>
      <c r="P740" s="11" t="str">
        <f ca="1">RANDBETWEEN(30,76)&amp;"%"</f>
        <v>70%</v>
      </c>
      <c r="Q740" s="18">
        <f>PRODUCT(K740,N740)</f>
        <v>42484</v>
      </c>
    </row>
    <row r="741" spans="1:17" x14ac:dyDescent="0.45">
      <c r="A741" s="6" t="s">
        <v>574</v>
      </c>
      <c r="B741" s="9" t="s">
        <v>566</v>
      </c>
      <c r="C741" s="6" t="s">
        <v>14</v>
      </c>
      <c r="D741" s="18">
        <f ca="1">RANDBETWEEN(500,1000)</f>
        <v>576</v>
      </c>
      <c r="E741" s="19">
        <v>45647</v>
      </c>
      <c r="F741" s="18">
        <v>56</v>
      </c>
      <c r="G741" s="20">
        <v>0.85</v>
      </c>
      <c r="H741" s="18">
        <f t="shared" ca="1" si="48"/>
        <v>56</v>
      </c>
      <c r="I741" s="18">
        <f t="shared" ca="1" si="49"/>
        <v>131</v>
      </c>
      <c r="J741" s="15">
        <f ca="1">K741-L741</f>
        <v>639</v>
      </c>
      <c r="K741" s="15">
        <v>688</v>
      </c>
      <c r="L741" s="15">
        <f ca="1">RANDBETWEEN(30,87)</f>
        <v>49</v>
      </c>
      <c r="M741" s="11">
        <f ca="1">(L741/J741)</f>
        <v>7.6682316118935834E-2</v>
      </c>
      <c r="N741" s="18">
        <v>71</v>
      </c>
      <c r="O741" s="18" t="str">
        <f t="shared" ca="1" si="50"/>
        <v>Optimal</v>
      </c>
      <c r="P741" s="11" t="str">
        <f ca="1">RANDBETWEEN(30,76)&amp;"%"</f>
        <v>47%</v>
      </c>
      <c r="Q741" s="18">
        <f>PRODUCT(K741,N741)</f>
        <v>48848</v>
      </c>
    </row>
    <row r="742" spans="1:17" x14ac:dyDescent="0.45">
      <c r="A742" s="6" t="s">
        <v>575</v>
      </c>
      <c r="B742" s="9" t="s">
        <v>566</v>
      </c>
      <c r="C742" s="6" t="s">
        <v>14</v>
      </c>
      <c r="D742" s="18">
        <f ca="1">RANDBETWEEN(500,1000)</f>
        <v>976</v>
      </c>
      <c r="E742" s="19">
        <v>45459</v>
      </c>
      <c r="F742" s="18">
        <v>24</v>
      </c>
      <c r="G742" s="20">
        <v>0.41</v>
      </c>
      <c r="H742" s="18">
        <f t="shared" ca="1" si="48"/>
        <v>62</v>
      </c>
      <c r="I742" s="18">
        <f t="shared" ca="1" si="49"/>
        <v>86</v>
      </c>
      <c r="J742" s="15">
        <f ca="1">K742-L742</f>
        <v>107.80000000000001</v>
      </c>
      <c r="K742" s="15">
        <v>154.80000000000001</v>
      </c>
      <c r="L742" s="15">
        <f ca="1">RANDBETWEEN(30,87)</f>
        <v>47</v>
      </c>
      <c r="M742" s="11">
        <f ca="1">(L742/J742)</f>
        <v>0.43599257884972165</v>
      </c>
      <c r="N742" s="18">
        <v>35</v>
      </c>
      <c r="O742" s="18" t="str">
        <f t="shared" ca="1" si="50"/>
        <v>Understocked</v>
      </c>
      <c r="P742" s="11" t="str">
        <f ca="1">RANDBETWEEN(30,76)&amp;"%"</f>
        <v>32%</v>
      </c>
      <c r="Q742" s="18">
        <f>PRODUCT(K742,N742)</f>
        <v>5418</v>
      </c>
    </row>
    <row r="743" spans="1:17" x14ac:dyDescent="0.45">
      <c r="A743" s="6" t="s">
        <v>576</v>
      </c>
      <c r="B743" s="9" t="s">
        <v>566</v>
      </c>
      <c r="C743" s="6" t="s">
        <v>14</v>
      </c>
      <c r="D743" s="18">
        <f ca="1">RANDBETWEEN(500,1000)</f>
        <v>666</v>
      </c>
      <c r="E743" s="19">
        <v>45527</v>
      </c>
      <c r="F743" s="18">
        <v>44</v>
      </c>
      <c r="G743" s="20">
        <v>0.45</v>
      </c>
      <c r="H743" s="18">
        <f t="shared" ca="1" si="48"/>
        <v>73</v>
      </c>
      <c r="I743" s="18">
        <f t="shared" ca="1" si="49"/>
        <v>97</v>
      </c>
      <c r="J743" s="15">
        <f ca="1">K743-L743</f>
        <v>123.80000000000001</v>
      </c>
      <c r="K743" s="15">
        <v>154.80000000000001</v>
      </c>
      <c r="L743" s="15">
        <f ca="1">RANDBETWEEN(30,87)</f>
        <v>31</v>
      </c>
      <c r="M743" s="11">
        <f ca="1">(L743/J743)</f>
        <v>0.25040387722132468</v>
      </c>
      <c r="N743" s="18">
        <v>63</v>
      </c>
      <c r="O743" s="18" t="str">
        <f t="shared" ca="1" si="50"/>
        <v>Understocked</v>
      </c>
      <c r="P743" s="11" t="str">
        <f ca="1">RANDBETWEEN(30,76)&amp;"%"</f>
        <v>33%</v>
      </c>
      <c r="Q743" s="18">
        <f>PRODUCT(K743,N743)</f>
        <v>9752.4000000000015</v>
      </c>
    </row>
    <row r="744" spans="1:17" x14ac:dyDescent="0.45">
      <c r="A744" s="6" t="s">
        <v>577</v>
      </c>
      <c r="B744" s="9" t="s">
        <v>566</v>
      </c>
      <c r="C744" s="6" t="s">
        <v>14</v>
      </c>
      <c r="D744" s="18">
        <f ca="1">RANDBETWEEN(500,1000)</f>
        <v>674</v>
      </c>
      <c r="E744" s="19">
        <v>45540</v>
      </c>
      <c r="F744" s="18">
        <v>33</v>
      </c>
      <c r="G744" s="20">
        <v>0.39</v>
      </c>
      <c r="H744" s="18">
        <f t="shared" ca="1" si="48"/>
        <v>63</v>
      </c>
      <c r="I744" s="18">
        <f t="shared" ca="1" si="49"/>
        <v>121</v>
      </c>
      <c r="J744" s="15">
        <f ca="1">K744-L744</f>
        <v>121</v>
      </c>
      <c r="K744" s="15">
        <v>172</v>
      </c>
      <c r="L744" s="15">
        <f ca="1">RANDBETWEEN(30,87)</f>
        <v>51</v>
      </c>
      <c r="M744" s="11">
        <f ca="1">(L744/J744)</f>
        <v>0.42148760330578511</v>
      </c>
      <c r="N744" s="18">
        <v>93</v>
      </c>
      <c r="O744" s="18" t="str">
        <f t="shared" ca="1" si="50"/>
        <v>Understocked</v>
      </c>
      <c r="P744" s="11" t="str">
        <f ca="1">RANDBETWEEN(30,76)&amp;"%"</f>
        <v>32%</v>
      </c>
      <c r="Q744" s="18">
        <f>PRODUCT(K744,N744)</f>
        <v>15996</v>
      </c>
    </row>
    <row r="745" spans="1:17" x14ac:dyDescent="0.45">
      <c r="A745" s="6" t="s">
        <v>578</v>
      </c>
      <c r="B745" s="9" t="s">
        <v>566</v>
      </c>
      <c r="C745" s="6" t="s">
        <v>14</v>
      </c>
      <c r="D745" s="18">
        <f ca="1">RANDBETWEEN(500,1000)</f>
        <v>823</v>
      </c>
      <c r="E745" s="19">
        <v>45483</v>
      </c>
      <c r="F745" s="18">
        <v>98</v>
      </c>
      <c r="G745" s="20">
        <v>0.66</v>
      </c>
      <c r="H745" s="18">
        <f t="shared" ca="1" si="48"/>
        <v>65</v>
      </c>
      <c r="I745" s="18">
        <f t="shared" ca="1" si="49"/>
        <v>81</v>
      </c>
      <c r="J745" s="15">
        <f ca="1">K745-L745</f>
        <v>189</v>
      </c>
      <c r="K745" s="15">
        <v>258</v>
      </c>
      <c r="L745" s="15">
        <f ca="1">RANDBETWEEN(30,87)</f>
        <v>69</v>
      </c>
      <c r="M745" s="11">
        <f ca="1">(L745/J745)</f>
        <v>0.36507936507936506</v>
      </c>
      <c r="N745" s="18">
        <v>51</v>
      </c>
      <c r="O745" s="18" t="str">
        <f t="shared" ca="1" si="50"/>
        <v>Optimal</v>
      </c>
      <c r="P745" s="11" t="str">
        <f ca="1">RANDBETWEEN(30,76)&amp;"%"</f>
        <v>58%</v>
      </c>
      <c r="Q745" s="18">
        <f>PRODUCT(K745,N745)</f>
        <v>13158</v>
      </c>
    </row>
    <row r="746" spans="1:17" x14ac:dyDescent="0.45">
      <c r="A746" s="6" t="s">
        <v>615</v>
      </c>
      <c r="B746" s="9" t="s">
        <v>616</v>
      </c>
      <c r="C746" s="6" t="s">
        <v>14</v>
      </c>
      <c r="D746" s="18">
        <f ca="1">RANDBETWEEN(500,1000)</f>
        <v>554</v>
      </c>
      <c r="E746" s="19">
        <v>45562</v>
      </c>
      <c r="F746" s="18">
        <v>11</v>
      </c>
      <c r="G746" s="20">
        <v>0.37</v>
      </c>
      <c r="H746" s="18">
        <f t="shared" ca="1" si="48"/>
        <v>63</v>
      </c>
      <c r="I746" s="18">
        <f t="shared" ca="1" si="49"/>
        <v>120</v>
      </c>
      <c r="J746" s="15">
        <f ca="1">K746-L746</f>
        <v>828</v>
      </c>
      <c r="K746" s="15">
        <v>860</v>
      </c>
      <c r="L746" s="15">
        <f ca="1">RANDBETWEEN(30,87)</f>
        <v>32</v>
      </c>
      <c r="M746" s="11">
        <f ca="1">(L746/J746)</f>
        <v>3.864734299516908E-2</v>
      </c>
      <c r="N746" s="18">
        <v>48</v>
      </c>
      <c r="O746" s="18" t="str">
        <f t="shared" ca="1" si="50"/>
        <v>Understocked</v>
      </c>
      <c r="P746" s="11" t="str">
        <f ca="1">RANDBETWEEN(30,76)&amp;"%"</f>
        <v>65%</v>
      </c>
      <c r="Q746" s="18">
        <f>PRODUCT(K746,N746)</f>
        <v>41280</v>
      </c>
    </row>
    <row r="747" spans="1:17" x14ac:dyDescent="0.45">
      <c r="A747" s="6" t="s">
        <v>617</v>
      </c>
      <c r="B747" s="9" t="s">
        <v>616</v>
      </c>
      <c r="C747" s="6" t="s">
        <v>14</v>
      </c>
      <c r="D747" s="18">
        <f ca="1">RANDBETWEEN(500,1000)</f>
        <v>849</v>
      </c>
      <c r="E747" s="19">
        <v>45413</v>
      </c>
      <c r="F747" s="18">
        <v>67</v>
      </c>
      <c r="G747" s="20">
        <v>0.45</v>
      </c>
      <c r="H747" s="18">
        <f t="shared" ca="1" si="48"/>
        <v>70</v>
      </c>
      <c r="I747" s="18">
        <f t="shared" ca="1" si="49"/>
        <v>182</v>
      </c>
      <c r="J747" s="15">
        <f ca="1">K747-L747</f>
        <v>347</v>
      </c>
      <c r="K747" s="15">
        <v>387</v>
      </c>
      <c r="L747" s="15">
        <f ca="1">RANDBETWEEN(30,87)</f>
        <v>40</v>
      </c>
      <c r="M747" s="11">
        <f ca="1">(L747/J747)</f>
        <v>0.11527377521613832</v>
      </c>
      <c r="N747" s="18">
        <v>66</v>
      </c>
      <c r="O747" s="18" t="str">
        <f t="shared" ca="1" si="50"/>
        <v>Understocked</v>
      </c>
      <c r="P747" s="11" t="str">
        <f ca="1">RANDBETWEEN(30,76)&amp;"%"</f>
        <v>47%</v>
      </c>
      <c r="Q747" s="18">
        <f>PRODUCT(K747,N747)</f>
        <v>25542</v>
      </c>
    </row>
    <row r="748" spans="1:17" x14ac:dyDescent="0.45">
      <c r="A748" s="6" t="s">
        <v>618</v>
      </c>
      <c r="B748" s="9" t="s">
        <v>616</v>
      </c>
      <c r="C748" s="6" t="s">
        <v>14</v>
      </c>
      <c r="D748" s="18">
        <f ca="1">RANDBETWEEN(500,1000)</f>
        <v>893</v>
      </c>
      <c r="E748" s="19">
        <v>45411</v>
      </c>
      <c r="F748" s="18">
        <v>69</v>
      </c>
      <c r="G748" s="20">
        <v>0.32</v>
      </c>
      <c r="H748" s="18">
        <f t="shared" ca="1" si="48"/>
        <v>52</v>
      </c>
      <c r="I748" s="18">
        <f t="shared" ca="1" si="49"/>
        <v>98</v>
      </c>
      <c r="J748" s="15">
        <f ca="1">K748-L748</f>
        <v>130</v>
      </c>
      <c r="K748" s="15">
        <v>172</v>
      </c>
      <c r="L748" s="15">
        <f ca="1">RANDBETWEEN(30,87)</f>
        <v>42</v>
      </c>
      <c r="M748" s="11">
        <f ca="1">(L748/J748)</f>
        <v>0.32307692307692309</v>
      </c>
      <c r="N748" s="18">
        <v>34</v>
      </c>
      <c r="O748" s="18" t="str">
        <f t="shared" ca="1" si="50"/>
        <v>Optimal</v>
      </c>
      <c r="P748" s="11" t="str">
        <f ca="1">RANDBETWEEN(30,76)&amp;"%"</f>
        <v>61%</v>
      </c>
      <c r="Q748" s="18">
        <f>PRODUCT(K748,N748)</f>
        <v>5848</v>
      </c>
    </row>
    <row r="749" spans="1:17" x14ac:dyDescent="0.45">
      <c r="A749" s="6" t="s">
        <v>619</v>
      </c>
      <c r="B749" s="9" t="s">
        <v>616</v>
      </c>
      <c r="C749" s="6" t="s">
        <v>14</v>
      </c>
      <c r="D749" s="18">
        <f ca="1">RANDBETWEEN(500,1000)</f>
        <v>968</v>
      </c>
      <c r="E749" s="19">
        <v>45707</v>
      </c>
      <c r="F749" s="18">
        <v>12</v>
      </c>
      <c r="G749" s="20">
        <v>0.76</v>
      </c>
      <c r="H749" s="18">
        <f t="shared" ca="1" si="48"/>
        <v>50</v>
      </c>
      <c r="I749" s="18">
        <f t="shared" ca="1" si="49"/>
        <v>164</v>
      </c>
      <c r="J749" s="15">
        <f ca="1">K749-L749</f>
        <v>341</v>
      </c>
      <c r="K749" s="15">
        <v>387</v>
      </c>
      <c r="L749" s="15">
        <f ca="1">RANDBETWEEN(30,87)</f>
        <v>46</v>
      </c>
      <c r="M749" s="11">
        <f ca="1">(L749/J749)</f>
        <v>0.13489736070381231</v>
      </c>
      <c r="N749" s="18">
        <v>95</v>
      </c>
      <c r="O749" s="18" t="str">
        <f t="shared" ca="1" si="50"/>
        <v>Understocked</v>
      </c>
      <c r="P749" s="11" t="str">
        <f ca="1">RANDBETWEEN(30,76)&amp;"%"</f>
        <v>43%</v>
      </c>
      <c r="Q749" s="18">
        <f>PRODUCT(K749,N749)</f>
        <v>36765</v>
      </c>
    </row>
    <row r="750" spans="1:17" x14ac:dyDescent="0.45">
      <c r="A750" s="6" t="s">
        <v>620</v>
      </c>
      <c r="B750" s="9" t="s">
        <v>616</v>
      </c>
      <c r="C750" s="6" t="s">
        <v>14</v>
      </c>
      <c r="D750" s="18">
        <f ca="1">RANDBETWEEN(500,1000)</f>
        <v>566</v>
      </c>
      <c r="E750" s="19">
        <v>45367</v>
      </c>
      <c r="F750" s="18">
        <v>71</v>
      </c>
      <c r="G750" s="20">
        <v>0.8</v>
      </c>
      <c r="H750" s="18">
        <f t="shared" ca="1" si="48"/>
        <v>71</v>
      </c>
      <c r="I750" s="18">
        <f t="shared" ca="1" si="49"/>
        <v>189</v>
      </c>
      <c r="J750" s="15">
        <f ca="1">K750-L750</f>
        <v>251</v>
      </c>
      <c r="K750" s="15">
        <v>301</v>
      </c>
      <c r="L750" s="15">
        <f ca="1">RANDBETWEEN(30,87)</f>
        <v>50</v>
      </c>
      <c r="M750" s="11">
        <f ca="1">(L750/J750)</f>
        <v>0.19920318725099601</v>
      </c>
      <c r="N750" s="18">
        <v>66</v>
      </c>
      <c r="O750" s="18" t="str">
        <f t="shared" ca="1" si="50"/>
        <v>Optimal</v>
      </c>
      <c r="P750" s="11" t="str">
        <f ca="1">RANDBETWEEN(30,76)&amp;"%"</f>
        <v>75%</v>
      </c>
      <c r="Q750" s="18">
        <f>PRODUCT(K750,N750)</f>
        <v>19866</v>
      </c>
    </row>
    <row r="751" spans="1:17" x14ac:dyDescent="0.45">
      <c r="A751" s="6" t="s">
        <v>621</v>
      </c>
      <c r="B751" s="9" t="s">
        <v>616</v>
      </c>
      <c r="C751" s="6" t="s">
        <v>14</v>
      </c>
      <c r="D751" s="18">
        <f ca="1">RANDBETWEEN(500,1000)</f>
        <v>827</v>
      </c>
      <c r="E751" s="19">
        <v>45436</v>
      </c>
      <c r="F751" s="18">
        <v>62</v>
      </c>
      <c r="G751" s="20">
        <v>0.79</v>
      </c>
      <c r="H751" s="18">
        <f t="shared" ca="1" si="48"/>
        <v>55</v>
      </c>
      <c r="I751" s="18">
        <f t="shared" ca="1" si="49"/>
        <v>182</v>
      </c>
      <c r="J751" s="15">
        <f ca="1">K751-L751</f>
        <v>372</v>
      </c>
      <c r="K751" s="15">
        <v>430</v>
      </c>
      <c r="L751" s="15">
        <f ca="1">RANDBETWEEN(30,87)</f>
        <v>58</v>
      </c>
      <c r="M751" s="11">
        <f ca="1">(L751/J751)</f>
        <v>0.15591397849462366</v>
      </c>
      <c r="N751" s="18">
        <v>100</v>
      </c>
      <c r="O751" s="18" t="str">
        <f t="shared" ca="1" si="50"/>
        <v>Optimal</v>
      </c>
      <c r="P751" s="11" t="str">
        <f ca="1">RANDBETWEEN(30,76)&amp;"%"</f>
        <v>35%</v>
      </c>
      <c r="Q751" s="18">
        <f>PRODUCT(K751,N751)</f>
        <v>43000</v>
      </c>
    </row>
    <row r="752" spans="1:17" x14ac:dyDescent="0.45">
      <c r="A752" s="6" t="s">
        <v>622</v>
      </c>
      <c r="B752" s="9" t="s">
        <v>616</v>
      </c>
      <c r="C752" s="6" t="s">
        <v>14</v>
      </c>
      <c r="D752" s="18">
        <f ca="1">RANDBETWEEN(500,1000)</f>
        <v>906</v>
      </c>
      <c r="E752" s="19">
        <v>45699</v>
      </c>
      <c r="F752" s="18">
        <v>98</v>
      </c>
      <c r="G752" s="20">
        <v>0.64</v>
      </c>
      <c r="H752" s="18">
        <f t="shared" ca="1" si="48"/>
        <v>76</v>
      </c>
      <c r="I752" s="18">
        <f t="shared" ca="1" si="49"/>
        <v>71</v>
      </c>
      <c r="J752" s="15">
        <f ca="1">K752-L752</f>
        <v>330</v>
      </c>
      <c r="K752" s="15">
        <v>387</v>
      </c>
      <c r="L752" s="15">
        <f ca="1">RANDBETWEEN(30,87)</f>
        <v>57</v>
      </c>
      <c r="M752" s="11">
        <f ca="1">(L752/J752)</f>
        <v>0.17272727272727273</v>
      </c>
      <c r="N752" s="18">
        <v>30</v>
      </c>
      <c r="O752" s="18" t="str">
        <f t="shared" ca="1" si="50"/>
        <v>Optimal</v>
      </c>
      <c r="P752" s="11" t="str">
        <f ca="1">RANDBETWEEN(30,76)&amp;"%"</f>
        <v>40%</v>
      </c>
      <c r="Q752" s="18">
        <f>PRODUCT(K752,N752)</f>
        <v>11610</v>
      </c>
    </row>
    <row r="753" spans="1:17" x14ac:dyDescent="0.45">
      <c r="A753" s="6" t="s">
        <v>623</v>
      </c>
      <c r="B753" s="9" t="s">
        <v>616</v>
      </c>
      <c r="C753" s="6" t="s">
        <v>14</v>
      </c>
      <c r="D753" s="18">
        <f ca="1">RANDBETWEEN(500,1000)</f>
        <v>986</v>
      </c>
      <c r="E753" s="19">
        <v>45369</v>
      </c>
      <c r="F753" s="18">
        <v>39</v>
      </c>
      <c r="G753" s="20">
        <v>0.74</v>
      </c>
      <c r="H753" s="18">
        <f t="shared" ca="1" si="48"/>
        <v>78</v>
      </c>
      <c r="I753" s="18">
        <f t="shared" ca="1" si="49"/>
        <v>167</v>
      </c>
      <c r="J753" s="15">
        <f ca="1">K753-L753</f>
        <v>476</v>
      </c>
      <c r="K753" s="15">
        <v>516</v>
      </c>
      <c r="L753" s="15">
        <f ca="1">RANDBETWEEN(30,87)</f>
        <v>40</v>
      </c>
      <c r="M753" s="11">
        <f ca="1">(L753/J753)</f>
        <v>8.4033613445378158E-2</v>
      </c>
      <c r="N753" s="18">
        <v>20</v>
      </c>
      <c r="O753" s="18" t="str">
        <f t="shared" ca="1" si="50"/>
        <v>Understocked</v>
      </c>
      <c r="P753" s="11" t="str">
        <f ca="1">RANDBETWEEN(30,76)&amp;"%"</f>
        <v>30%</v>
      </c>
      <c r="Q753" s="18">
        <f>PRODUCT(K753,N753)</f>
        <v>10320</v>
      </c>
    </row>
    <row r="754" spans="1:17" x14ac:dyDescent="0.45">
      <c r="A754" s="6" t="s">
        <v>624</v>
      </c>
      <c r="B754" s="9" t="s">
        <v>616</v>
      </c>
      <c r="C754" s="6" t="s">
        <v>14</v>
      </c>
      <c r="D754" s="18">
        <f ca="1">RANDBETWEEN(500,1000)</f>
        <v>840</v>
      </c>
      <c r="E754" s="19">
        <v>45483</v>
      </c>
      <c r="F754" s="18">
        <v>26</v>
      </c>
      <c r="G754" s="20">
        <v>0.56999999999999995</v>
      </c>
      <c r="H754" s="18">
        <f t="shared" ca="1" si="48"/>
        <v>50</v>
      </c>
      <c r="I754" s="18">
        <f t="shared" ca="1" si="49"/>
        <v>164</v>
      </c>
      <c r="J754" s="15">
        <f ca="1">K754-L754</f>
        <v>401</v>
      </c>
      <c r="K754" s="15">
        <v>473</v>
      </c>
      <c r="L754" s="15">
        <f ca="1">RANDBETWEEN(30,87)</f>
        <v>72</v>
      </c>
      <c r="M754" s="11">
        <f ca="1">(L754/J754)</f>
        <v>0.17955112219451372</v>
      </c>
      <c r="N754" s="18">
        <v>76</v>
      </c>
      <c r="O754" s="18" t="str">
        <f t="shared" ca="1" si="50"/>
        <v>Understocked</v>
      </c>
      <c r="P754" s="11" t="str">
        <f ca="1">RANDBETWEEN(30,76)&amp;"%"</f>
        <v>58%</v>
      </c>
      <c r="Q754" s="18">
        <f>PRODUCT(K754,N754)</f>
        <v>35948</v>
      </c>
    </row>
    <row r="755" spans="1:17" x14ac:dyDescent="0.45">
      <c r="A755" s="6" t="s">
        <v>825</v>
      </c>
      <c r="B755" s="9" t="s">
        <v>826</v>
      </c>
      <c r="C755" s="6" t="s">
        <v>14</v>
      </c>
      <c r="D755" s="18">
        <f ca="1">RANDBETWEEN(500,1000)</f>
        <v>572</v>
      </c>
      <c r="E755" s="19">
        <v>45351</v>
      </c>
      <c r="F755" s="18">
        <v>46</v>
      </c>
      <c r="G755" s="20">
        <v>0.82</v>
      </c>
      <c r="H755" s="18">
        <f t="shared" ca="1" si="48"/>
        <v>70</v>
      </c>
      <c r="I755" s="18">
        <f t="shared" ca="1" si="49"/>
        <v>125</v>
      </c>
      <c r="J755" s="15">
        <f ca="1">K755-L755</f>
        <v>321.2</v>
      </c>
      <c r="K755" s="15">
        <v>361.2</v>
      </c>
      <c r="L755" s="15">
        <f ca="1">RANDBETWEEN(30,87)</f>
        <v>40</v>
      </c>
      <c r="M755" s="11">
        <f ca="1">(L755/J755)</f>
        <v>0.12453300124533001</v>
      </c>
      <c r="N755" s="18">
        <v>54</v>
      </c>
      <c r="O755" s="18" t="str">
        <f t="shared" ca="1" si="50"/>
        <v>Understocked</v>
      </c>
      <c r="P755" s="11" t="str">
        <f ca="1">RANDBETWEEN(30,76)&amp;"%"</f>
        <v>62%</v>
      </c>
      <c r="Q755" s="18">
        <f>PRODUCT(K755,N755)</f>
        <v>19504.8</v>
      </c>
    </row>
    <row r="756" spans="1:17" x14ac:dyDescent="0.45">
      <c r="A756" s="6" t="s">
        <v>827</v>
      </c>
      <c r="B756" s="9" t="s">
        <v>826</v>
      </c>
      <c r="C756" s="6" t="s">
        <v>14</v>
      </c>
      <c r="D756" s="18">
        <f ca="1">RANDBETWEEN(500,1000)</f>
        <v>839</v>
      </c>
      <c r="E756" s="19">
        <v>45393</v>
      </c>
      <c r="F756" s="18">
        <v>68</v>
      </c>
      <c r="G756" s="20">
        <v>0.53</v>
      </c>
      <c r="H756" s="18">
        <f t="shared" ca="1" si="48"/>
        <v>78</v>
      </c>
      <c r="I756" s="18">
        <f t="shared" ca="1" si="49"/>
        <v>160</v>
      </c>
      <c r="J756" s="15">
        <f ca="1">K756-L756</f>
        <v>353</v>
      </c>
      <c r="K756" s="15">
        <v>430</v>
      </c>
      <c r="L756" s="15">
        <f ca="1">RANDBETWEEN(30,87)</f>
        <v>77</v>
      </c>
      <c r="M756" s="11">
        <f ca="1">(L756/J756)</f>
        <v>0.21813031161473087</v>
      </c>
      <c r="N756" s="18">
        <v>69</v>
      </c>
      <c r="O756" s="18" t="str">
        <f t="shared" ca="1" si="50"/>
        <v>Understocked</v>
      </c>
      <c r="P756" s="11" t="str">
        <f ca="1">RANDBETWEEN(30,76)&amp;"%"</f>
        <v>60%</v>
      </c>
      <c r="Q756" s="18">
        <f>PRODUCT(K756,N756)</f>
        <v>29670</v>
      </c>
    </row>
    <row r="757" spans="1:17" x14ac:dyDescent="0.45">
      <c r="A757" s="6" t="s">
        <v>828</v>
      </c>
      <c r="B757" s="9" t="s">
        <v>826</v>
      </c>
      <c r="C757" s="6" t="s">
        <v>14</v>
      </c>
      <c r="D757" s="18">
        <f ca="1">RANDBETWEEN(500,1000)</f>
        <v>795</v>
      </c>
      <c r="E757" s="19">
        <v>45484</v>
      </c>
      <c r="F757" s="18">
        <v>47</v>
      </c>
      <c r="G757" s="20">
        <v>0.68</v>
      </c>
      <c r="H757" s="18">
        <f t="shared" ca="1" si="48"/>
        <v>55</v>
      </c>
      <c r="I757" s="18">
        <f t="shared" ca="1" si="49"/>
        <v>97</v>
      </c>
      <c r="J757" s="15">
        <f ca="1">K757-L757</f>
        <v>621</v>
      </c>
      <c r="K757" s="15">
        <v>688</v>
      </c>
      <c r="L757" s="15">
        <f ca="1">RANDBETWEEN(30,87)</f>
        <v>67</v>
      </c>
      <c r="M757" s="11">
        <f ca="1">(L757/J757)</f>
        <v>0.10789049919484701</v>
      </c>
      <c r="N757" s="18">
        <v>22</v>
      </c>
      <c r="O757" s="18" t="str">
        <f t="shared" ca="1" si="50"/>
        <v>Understocked</v>
      </c>
      <c r="P757" s="11" t="str">
        <f ca="1">RANDBETWEEN(30,76)&amp;"%"</f>
        <v>64%</v>
      </c>
      <c r="Q757" s="18">
        <f>PRODUCT(K757,N757)</f>
        <v>15136</v>
      </c>
    </row>
    <row r="758" spans="1:17" x14ac:dyDescent="0.45">
      <c r="A758" s="6" t="s">
        <v>829</v>
      </c>
      <c r="B758" s="9" t="s">
        <v>826</v>
      </c>
      <c r="C758" s="6" t="s">
        <v>14</v>
      </c>
      <c r="D758" s="18">
        <f ca="1">RANDBETWEEN(500,1000)</f>
        <v>986</v>
      </c>
      <c r="E758" s="19">
        <v>45576</v>
      </c>
      <c r="F758" s="18">
        <v>21</v>
      </c>
      <c r="G758" s="20">
        <v>0.53</v>
      </c>
      <c r="H758" s="18">
        <f t="shared" ca="1" si="48"/>
        <v>63</v>
      </c>
      <c r="I758" s="18">
        <f t="shared" ca="1" si="49"/>
        <v>142</v>
      </c>
      <c r="J758" s="15">
        <f ca="1">K758-L758</f>
        <v>819</v>
      </c>
      <c r="K758" s="15">
        <v>860</v>
      </c>
      <c r="L758" s="15">
        <f ca="1">RANDBETWEEN(30,87)</f>
        <v>41</v>
      </c>
      <c r="M758" s="11">
        <f ca="1">(L758/J758)</f>
        <v>5.0061050061050064E-2</v>
      </c>
      <c r="N758" s="18">
        <v>37</v>
      </c>
      <c r="O758" s="18" t="str">
        <f t="shared" ca="1" si="50"/>
        <v>Understocked</v>
      </c>
      <c r="P758" s="11" t="str">
        <f ca="1">RANDBETWEEN(30,76)&amp;"%"</f>
        <v>49%</v>
      </c>
      <c r="Q758" s="18">
        <f>PRODUCT(K758,N758)</f>
        <v>31820</v>
      </c>
    </row>
    <row r="759" spans="1:17" x14ac:dyDescent="0.45">
      <c r="A759" s="6" t="s">
        <v>830</v>
      </c>
      <c r="B759" s="9" t="s">
        <v>826</v>
      </c>
      <c r="C759" s="6" t="s">
        <v>14</v>
      </c>
      <c r="D759" s="18">
        <f ca="1">RANDBETWEEN(500,1000)</f>
        <v>520</v>
      </c>
      <c r="E759" s="19">
        <v>45448</v>
      </c>
      <c r="F759" s="18">
        <v>64</v>
      </c>
      <c r="G759" s="20">
        <v>0.52</v>
      </c>
      <c r="H759" s="18">
        <f t="shared" ca="1" si="48"/>
        <v>77</v>
      </c>
      <c r="I759" s="18">
        <f t="shared" ca="1" si="49"/>
        <v>169</v>
      </c>
      <c r="J759" s="15">
        <f ca="1">K759-L759</f>
        <v>55</v>
      </c>
      <c r="K759" s="15">
        <v>129</v>
      </c>
      <c r="L759" s="15">
        <f ca="1">RANDBETWEEN(30,87)</f>
        <v>74</v>
      </c>
      <c r="M759" s="11">
        <f ca="1">(L759/J759)</f>
        <v>1.3454545454545455</v>
      </c>
      <c r="N759" s="18">
        <v>97</v>
      </c>
      <c r="O759" s="18" t="str">
        <f t="shared" ca="1" si="50"/>
        <v>Understocked</v>
      </c>
      <c r="P759" s="11" t="str">
        <f ca="1">RANDBETWEEN(30,76)&amp;"%"</f>
        <v>58%</v>
      </c>
      <c r="Q759" s="18">
        <f>PRODUCT(K759,N759)</f>
        <v>12513</v>
      </c>
    </row>
    <row r="760" spans="1:17" x14ac:dyDescent="0.45">
      <c r="A760" s="6" t="s">
        <v>831</v>
      </c>
      <c r="B760" s="9" t="s">
        <v>826</v>
      </c>
      <c r="C760" s="6" t="s">
        <v>14</v>
      </c>
      <c r="D760" s="18">
        <f ca="1">RANDBETWEEN(500,1000)</f>
        <v>723</v>
      </c>
      <c r="E760" s="19">
        <v>45708</v>
      </c>
      <c r="F760" s="18">
        <v>88</v>
      </c>
      <c r="G760" s="20">
        <v>0.8</v>
      </c>
      <c r="H760" s="18">
        <f t="shared" ca="1" si="48"/>
        <v>69</v>
      </c>
      <c r="I760" s="18">
        <f t="shared" ca="1" si="49"/>
        <v>192</v>
      </c>
      <c r="J760" s="15">
        <f ca="1">K760-L760</f>
        <v>432</v>
      </c>
      <c r="K760" s="15">
        <v>516</v>
      </c>
      <c r="L760" s="15">
        <f ca="1">RANDBETWEEN(30,87)</f>
        <v>84</v>
      </c>
      <c r="M760" s="11">
        <f ca="1">(L760/J760)</f>
        <v>0.19444444444444445</v>
      </c>
      <c r="N760" s="18">
        <v>95</v>
      </c>
      <c r="O760" s="18" t="str">
        <f t="shared" ca="1" si="50"/>
        <v>Optimal</v>
      </c>
      <c r="P760" s="11" t="str">
        <f ca="1">RANDBETWEEN(30,76)&amp;"%"</f>
        <v>73%</v>
      </c>
      <c r="Q760" s="18">
        <f>PRODUCT(K760,N760)</f>
        <v>49020</v>
      </c>
    </row>
    <row r="761" spans="1:17" x14ac:dyDescent="0.45">
      <c r="A761" s="6" t="s">
        <v>832</v>
      </c>
      <c r="B761" s="9" t="s">
        <v>826</v>
      </c>
      <c r="C761" s="6" t="s">
        <v>14</v>
      </c>
      <c r="D761" s="18">
        <f ca="1">RANDBETWEEN(500,1000)</f>
        <v>982</v>
      </c>
      <c r="E761" s="19">
        <v>45372</v>
      </c>
      <c r="F761" s="18">
        <v>63</v>
      </c>
      <c r="G761" s="20">
        <v>0.88</v>
      </c>
      <c r="H761" s="18">
        <f t="shared" ca="1" si="48"/>
        <v>61</v>
      </c>
      <c r="I761" s="18">
        <f t="shared" ca="1" si="49"/>
        <v>193</v>
      </c>
      <c r="J761" s="15">
        <f ca="1">K761-L761</f>
        <v>276</v>
      </c>
      <c r="K761" s="15">
        <v>344</v>
      </c>
      <c r="L761" s="15">
        <f ca="1">RANDBETWEEN(30,87)</f>
        <v>68</v>
      </c>
      <c r="M761" s="11">
        <f ca="1">(L761/J761)</f>
        <v>0.24637681159420291</v>
      </c>
      <c r="N761" s="18">
        <v>40</v>
      </c>
      <c r="O761" s="18" t="str">
        <f t="shared" ca="1" si="50"/>
        <v>Optimal</v>
      </c>
      <c r="P761" s="11" t="str">
        <f ca="1">RANDBETWEEN(30,76)&amp;"%"</f>
        <v>66%</v>
      </c>
      <c r="Q761" s="18">
        <f>PRODUCT(K761,N761)</f>
        <v>13760</v>
      </c>
    </row>
    <row r="762" spans="1:17" x14ac:dyDescent="0.45">
      <c r="A762" s="6" t="s">
        <v>833</v>
      </c>
      <c r="B762" s="9" t="s">
        <v>826</v>
      </c>
      <c r="C762" s="6" t="s">
        <v>14</v>
      </c>
      <c r="D762" s="18">
        <f ca="1">RANDBETWEEN(500,1000)</f>
        <v>974</v>
      </c>
      <c r="E762" s="19">
        <v>45542</v>
      </c>
      <c r="F762" s="18">
        <v>66</v>
      </c>
      <c r="G762" s="20">
        <v>0.54</v>
      </c>
      <c r="H762" s="18">
        <f t="shared" ca="1" si="48"/>
        <v>80</v>
      </c>
      <c r="I762" s="18">
        <f t="shared" ca="1" si="49"/>
        <v>175</v>
      </c>
      <c r="J762" s="15">
        <f ca="1">K762-L762</f>
        <v>131</v>
      </c>
      <c r="K762" s="15">
        <v>215</v>
      </c>
      <c r="L762" s="15">
        <f ca="1">RANDBETWEEN(30,87)</f>
        <v>84</v>
      </c>
      <c r="M762" s="11">
        <f ca="1">(L762/J762)</f>
        <v>0.64122137404580148</v>
      </c>
      <c r="N762" s="18">
        <v>30</v>
      </c>
      <c r="O762" s="18" t="str">
        <f t="shared" ca="1" si="50"/>
        <v>Understocked</v>
      </c>
      <c r="P762" s="11" t="str">
        <f ca="1">RANDBETWEEN(30,76)&amp;"%"</f>
        <v>70%</v>
      </c>
      <c r="Q762" s="18">
        <f>PRODUCT(K762,N762)</f>
        <v>6450</v>
      </c>
    </row>
    <row r="763" spans="1:17" x14ac:dyDescent="0.45">
      <c r="A763" s="6" t="s">
        <v>834</v>
      </c>
      <c r="B763" s="9" t="s">
        <v>826</v>
      </c>
      <c r="C763" s="6" t="s">
        <v>14</v>
      </c>
      <c r="D763" s="18">
        <f ca="1">RANDBETWEEN(500,1000)</f>
        <v>938</v>
      </c>
      <c r="E763" s="19">
        <v>45424</v>
      </c>
      <c r="F763" s="18">
        <v>28</v>
      </c>
      <c r="G763" s="20">
        <v>0.44</v>
      </c>
      <c r="H763" s="18">
        <f t="shared" ca="1" si="48"/>
        <v>66</v>
      </c>
      <c r="I763" s="18">
        <f t="shared" ca="1" si="49"/>
        <v>119</v>
      </c>
      <c r="J763" s="15">
        <f ca="1">K763-L763</f>
        <v>373</v>
      </c>
      <c r="K763" s="15">
        <v>430</v>
      </c>
      <c r="L763" s="15">
        <f ca="1">RANDBETWEEN(30,87)</f>
        <v>57</v>
      </c>
      <c r="M763" s="11">
        <f ca="1">(L763/J763)</f>
        <v>0.15281501340482573</v>
      </c>
      <c r="N763" s="18">
        <v>82</v>
      </c>
      <c r="O763" s="18" t="str">
        <f t="shared" ca="1" si="50"/>
        <v>Understocked</v>
      </c>
      <c r="P763" s="11" t="str">
        <f ca="1">RANDBETWEEN(30,76)&amp;"%"</f>
        <v>33%</v>
      </c>
      <c r="Q763" s="18">
        <f>PRODUCT(K763,N763)</f>
        <v>35260</v>
      </c>
    </row>
    <row r="764" spans="1:17" x14ac:dyDescent="0.45">
      <c r="A764" s="6" t="s">
        <v>835</v>
      </c>
      <c r="B764" s="9" t="s">
        <v>836</v>
      </c>
      <c r="C764" s="6" t="s">
        <v>14</v>
      </c>
      <c r="D764" s="18">
        <f ca="1">RANDBETWEEN(500,1000)</f>
        <v>575</v>
      </c>
      <c r="E764" s="19">
        <v>45658</v>
      </c>
      <c r="F764" s="18">
        <v>100</v>
      </c>
      <c r="G764" s="20">
        <v>0.46</v>
      </c>
      <c r="H764" s="18">
        <f t="shared" ca="1" si="48"/>
        <v>61</v>
      </c>
      <c r="I764" s="18">
        <f t="shared" ca="1" si="49"/>
        <v>112</v>
      </c>
      <c r="J764" s="15">
        <f ca="1">K764-L764</f>
        <v>298.7</v>
      </c>
      <c r="K764" s="15">
        <v>382.7</v>
      </c>
      <c r="L764" s="15">
        <f ca="1">RANDBETWEEN(30,87)</f>
        <v>84</v>
      </c>
      <c r="M764" s="11">
        <f ca="1">(L764/J764)</f>
        <v>0.28121861399397391</v>
      </c>
      <c r="N764" s="18">
        <v>76</v>
      </c>
      <c r="O764" s="18" t="str">
        <f t="shared" ca="1" si="50"/>
        <v>Optimal</v>
      </c>
      <c r="P764" s="11" t="str">
        <f ca="1">RANDBETWEEN(30,76)&amp;"%"</f>
        <v>59%</v>
      </c>
      <c r="Q764" s="18">
        <f>PRODUCT(K764,N764)</f>
        <v>29085.200000000001</v>
      </c>
    </row>
    <row r="765" spans="1:17" x14ac:dyDescent="0.45">
      <c r="A765" s="6" t="s">
        <v>837</v>
      </c>
      <c r="B765" s="9" t="s">
        <v>836</v>
      </c>
      <c r="C765" s="6" t="s">
        <v>14</v>
      </c>
      <c r="D765" s="18">
        <f ca="1">RANDBETWEEN(500,1000)</f>
        <v>915</v>
      </c>
      <c r="E765" s="19">
        <v>45710</v>
      </c>
      <c r="F765" s="18">
        <v>31</v>
      </c>
      <c r="G765" s="20">
        <v>0.7</v>
      </c>
      <c r="H765" s="18">
        <f t="shared" ca="1" si="48"/>
        <v>74</v>
      </c>
      <c r="I765" s="18">
        <f t="shared" ca="1" si="49"/>
        <v>82</v>
      </c>
      <c r="J765" s="15">
        <f ca="1">K765-L765</f>
        <v>121.79999999999998</v>
      </c>
      <c r="K765" s="15">
        <v>197.79999999999998</v>
      </c>
      <c r="L765" s="15">
        <f ca="1">RANDBETWEEN(30,87)</f>
        <v>76</v>
      </c>
      <c r="M765" s="11">
        <f ca="1">(L765/J765)</f>
        <v>0.62397372742200341</v>
      </c>
      <c r="N765" s="18">
        <v>46</v>
      </c>
      <c r="O765" s="18" t="str">
        <f t="shared" ca="1" si="50"/>
        <v>Understocked</v>
      </c>
      <c r="P765" s="11" t="str">
        <f ca="1">RANDBETWEEN(30,76)&amp;"%"</f>
        <v>69%</v>
      </c>
      <c r="Q765" s="18">
        <f>PRODUCT(K765,N765)</f>
        <v>9098.7999999999993</v>
      </c>
    </row>
    <row r="766" spans="1:17" x14ac:dyDescent="0.45">
      <c r="A766" s="6" t="s">
        <v>838</v>
      </c>
      <c r="B766" s="9" t="s">
        <v>836</v>
      </c>
      <c r="C766" s="6" t="s">
        <v>14</v>
      </c>
      <c r="D766" s="18">
        <f ca="1">RANDBETWEEN(500,1000)</f>
        <v>910</v>
      </c>
      <c r="E766" s="19">
        <v>45553</v>
      </c>
      <c r="F766" s="18">
        <v>90</v>
      </c>
      <c r="G766" s="20">
        <v>0.86</v>
      </c>
      <c r="H766" s="18">
        <f t="shared" ca="1" si="48"/>
        <v>63</v>
      </c>
      <c r="I766" s="18">
        <f t="shared" ca="1" si="49"/>
        <v>81</v>
      </c>
      <c r="J766" s="15">
        <f ca="1">K766-L766</f>
        <v>311</v>
      </c>
      <c r="K766" s="15">
        <v>387</v>
      </c>
      <c r="L766" s="15">
        <f ca="1">RANDBETWEEN(30,87)</f>
        <v>76</v>
      </c>
      <c r="M766" s="11">
        <f ca="1">(L766/J766)</f>
        <v>0.24437299035369775</v>
      </c>
      <c r="N766" s="18">
        <v>80</v>
      </c>
      <c r="O766" s="18" t="str">
        <f t="shared" ca="1" si="50"/>
        <v>Optimal</v>
      </c>
      <c r="P766" s="11" t="str">
        <f ca="1">RANDBETWEEN(30,76)&amp;"%"</f>
        <v>55%</v>
      </c>
      <c r="Q766" s="18">
        <f>PRODUCT(K766,N766)</f>
        <v>30960</v>
      </c>
    </row>
    <row r="767" spans="1:17" x14ac:dyDescent="0.45">
      <c r="A767" s="6" t="s">
        <v>839</v>
      </c>
      <c r="B767" s="9" t="s">
        <v>836</v>
      </c>
      <c r="C767" s="6" t="s">
        <v>14</v>
      </c>
      <c r="D767" s="18">
        <f ca="1">RANDBETWEEN(500,1000)</f>
        <v>632</v>
      </c>
      <c r="E767" s="19">
        <v>45710</v>
      </c>
      <c r="F767" s="18">
        <v>19</v>
      </c>
      <c r="G767" s="20">
        <v>0.56000000000000005</v>
      </c>
      <c r="H767" s="18">
        <f t="shared" ca="1" si="48"/>
        <v>72</v>
      </c>
      <c r="I767" s="18">
        <f t="shared" ca="1" si="49"/>
        <v>115</v>
      </c>
      <c r="J767" s="15">
        <f ca="1">K767-L767</f>
        <v>484</v>
      </c>
      <c r="K767" s="15">
        <v>516</v>
      </c>
      <c r="L767" s="15">
        <f ca="1">RANDBETWEEN(30,87)</f>
        <v>32</v>
      </c>
      <c r="M767" s="11">
        <f ca="1">(L767/J767)</f>
        <v>6.6115702479338845E-2</v>
      </c>
      <c r="N767" s="18">
        <v>39</v>
      </c>
      <c r="O767" s="18" t="str">
        <f t="shared" ca="1" si="50"/>
        <v>Understocked</v>
      </c>
      <c r="P767" s="11" t="str">
        <f ca="1">RANDBETWEEN(30,76)&amp;"%"</f>
        <v>38%</v>
      </c>
      <c r="Q767" s="18">
        <f>PRODUCT(K767,N767)</f>
        <v>20124</v>
      </c>
    </row>
    <row r="768" spans="1:17" x14ac:dyDescent="0.45">
      <c r="A768" s="6" t="s">
        <v>840</v>
      </c>
      <c r="B768" s="9" t="s">
        <v>836</v>
      </c>
      <c r="C768" s="6" t="s">
        <v>14</v>
      </c>
      <c r="D768" s="18">
        <f ca="1">RANDBETWEEN(500,1000)</f>
        <v>599</v>
      </c>
      <c r="E768" s="19">
        <v>45469</v>
      </c>
      <c r="F768" s="18">
        <v>72</v>
      </c>
      <c r="G768" s="20">
        <v>0.69</v>
      </c>
      <c r="H768" s="18">
        <f t="shared" ca="1" si="48"/>
        <v>58</v>
      </c>
      <c r="I768" s="18">
        <f t="shared" ca="1" si="49"/>
        <v>158</v>
      </c>
      <c r="J768" s="15">
        <f ca="1">K768-L768</f>
        <v>141</v>
      </c>
      <c r="K768" s="15">
        <v>215</v>
      </c>
      <c r="L768" s="15">
        <f ca="1">RANDBETWEEN(30,87)</f>
        <v>74</v>
      </c>
      <c r="M768" s="11">
        <f ca="1">(L768/J768)</f>
        <v>0.52482269503546097</v>
      </c>
      <c r="N768" s="18">
        <v>39</v>
      </c>
      <c r="O768" s="18" t="str">
        <f t="shared" ca="1" si="50"/>
        <v>Optimal</v>
      </c>
      <c r="P768" s="11" t="str">
        <f ca="1">RANDBETWEEN(30,76)&amp;"%"</f>
        <v>33%</v>
      </c>
      <c r="Q768" s="18">
        <f>PRODUCT(K768,N768)</f>
        <v>8385</v>
      </c>
    </row>
    <row r="769" spans="1:17" x14ac:dyDescent="0.45">
      <c r="A769" s="6" t="s">
        <v>841</v>
      </c>
      <c r="B769" s="9" t="s">
        <v>842</v>
      </c>
      <c r="C769" s="6" t="s">
        <v>14</v>
      </c>
      <c r="D769" s="18">
        <f ca="1">RANDBETWEEN(500,1000)</f>
        <v>506</v>
      </c>
      <c r="E769" s="19">
        <v>45682</v>
      </c>
      <c r="F769" s="18">
        <v>24</v>
      </c>
      <c r="G769" s="20">
        <v>0.83</v>
      </c>
      <c r="H769" s="18">
        <f t="shared" ca="1" si="48"/>
        <v>63</v>
      </c>
      <c r="I769" s="18">
        <f t="shared" ca="1" si="49"/>
        <v>165</v>
      </c>
      <c r="J769" s="15">
        <f ca="1">K769-L769</f>
        <v>573.6</v>
      </c>
      <c r="K769" s="15">
        <v>610.6</v>
      </c>
      <c r="L769" s="15">
        <f ca="1">RANDBETWEEN(30,87)</f>
        <v>37</v>
      </c>
      <c r="M769" s="11">
        <f ca="1">(L769/J769)</f>
        <v>6.4504881450488147E-2</v>
      </c>
      <c r="N769" s="18">
        <v>98</v>
      </c>
      <c r="O769" s="18" t="str">
        <f t="shared" ca="1" si="50"/>
        <v>Understocked</v>
      </c>
      <c r="P769" s="11" t="str">
        <f ca="1">RANDBETWEEN(30,76)&amp;"%"</f>
        <v>32%</v>
      </c>
      <c r="Q769" s="18">
        <f>PRODUCT(K769,N769)</f>
        <v>59838.8</v>
      </c>
    </row>
    <row r="770" spans="1:17" x14ac:dyDescent="0.45">
      <c r="A770" s="6" t="s">
        <v>843</v>
      </c>
      <c r="B770" s="9" t="s">
        <v>842</v>
      </c>
      <c r="C770" s="6" t="s">
        <v>14</v>
      </c>
      <c r="D770" s="18">
        <f ca="1">RANDBETWEEN(500,1000)</f>
        <v>705</v>
      </c>
      <c r="E770" s="19">
        <v>45433</v>
      </c>
      <c r="F770" s="18">
        <v>99</v>
      </c>
      <c r="G770" s="20">
        <v>0.37</v>
      </c>
      <c r="H770" s="18">
        <f t="shared" ca="1" si="48"/>
        <v>74</v>
      </c>
      <c r="I770" s="18">
        <f t="shared" ca="1" si="49"/>
        <v>80</v>
      </c>
      <c r="J770" s="15">
        <f ca="1">K770-L770</f>
        <v>34</v>
      </c>
      <c r="K770" s="15">
        <v>86</v>
      </c>
      <c r="L770" s="15">
        <f ca="1">RANDBETWEEN(30,87)</f>
        <v>52</v>
      </c>
      <c r="M770" s="11">
        <f ca="1">(L770/J770)</f>
        <v>1.5294117647058822</v>
      </c>
      <c r="N770" s="18">
        <v>36</v>
      </c>
      <c r="O770" s="18" t="str">
        <f t="shared" ca="1" si="50"/>
        <v>Optimal</v>
      </c>
      <c r="P770" s="11" t="str">
        <f ca="1">RANDBETWEEN(30,76)&amp;"%"</f>
        <v>35%</v>
      </c>
      <c r="Q770" s="18">
        <f>PRODUCT(K770,N770)</f>
        <v>3096</v>
      </c>
    </row>
    <row r="771" spans="1:17" x14ac:dyDescent="0.45">
      <c r="A771" s="6" t="s">
        <v>844</v>
      </c>
      <c r="B771" s="9" t="s">
        <v>842</v>
      </c>
      <c r="C771" s="6" t="s">
        <v>14</v>
      </c>
      <c r="D771" s="18">
        <f ca="1">RANDBETWEEN(500,1000)</f>
        <v>919</v>
      </c>
      <c r="E771" s="19">
        <v>45460</v>
      </c>
      <c r="F771" s="18">
        <v>15</v>
      </c>
      <c r="G771" s="20">
        <v>0.43</v>
      </c>
      <c r="H771" s="18">
        <f t="shared" ca="1" si="48"/>
        <v>52</v>
      </c>
      <c r="I771" s="18">
        <f t="shared" ca="1" si="49"/>
        <v>182</v>
      </c>
      <c r="J771" s="15">
        <f ca="1">K771-L771</f>
        <v>220</v>
      </c>
      <c r="K771" s="15">
        <v>258</v>
      </c>
      <c r="L771" s="15">
        <f ca="1">RANDBETWEEN(30,87)</f>
        <v>38</v>
      </c>
      <c r="M771" s="11">
        <f ca="1">(L771/J771)</f>
        <v>0.17272727272727273</v>
      </c>
      <c r="N771" s="18">
        <v>90</v>
      </c>
      <c r="O771" s="18" t="str">
        <f t="shared" ca="1" si="50"/>
        <v>Understocked</v>
      </c>
      <c r="P771" s="11" t="str">
        <f ca="1">RANDBETWEEN(30,76)&amp;"%"</f>
        <v>32%</v>
      </c>
      <c r="Q771" s="18">
        <f>PRODUCT(K771,N771)</f>
        <v>23220</v>
      </c>
    </row>
    <row r="772" spans="1:17" x14ac:dyDescent="0.45">
      <c r="A772" s="6" t="s">
        <v>845</v>
      </c>
      <c r="B772" s="9" t="s">
        <v>842</v>
      </c>
      <c r="C772" s="6" t="s">
        <v>14</v>
      </c>
      <c r="D772" s="18">
        <f ca="1">RANDBETWEEN(500,1000)</f>
        <v>719</v>
      </c>
      <c r="E772" s="19">
        <v>45447</v>
      </c>
      <c r="F772" s="18">
        <v>31</v>
      </c>
      <c r="G772" s="20">
        <v>0.78</v>
      </c>
      <c r="H772" s="18">
        <f t="shared" ca="1" si="48"/>
        <v>79</v>
      </c>
      <c r="I772" s="18">
        <f t="shared" ca="1" si="49"/>
        <v>87</v>
      </c>
      <c r="J772" s="15">
        <f ca="1">K772-L772</f>
        <v>95.800000000000011</v>
      </c>
      <c r="K772" s="15">
        <v>154.80000000000001</v>
      </c>
      <c r="L772" s="15">
        <f ca="1">RANDBETWEEN(30,87)</f>
        <v>59</v>
      </c>
      <c r="M772" s="11">
        <f ca="1">(L772/J772)</f>
        <v>0.615866388308977</v>
      </c>
      <c r="N772" s="18">
        <v>38</v>
      </c>
      <c r="O772" s="18" t="str">
        <f t="shared" ca="1" si="50"/>
        <v>Understocked</v>
      </c>
      <c r="P772" s="11" t="str">
        <f ca="1">RANDBETWEEN(30,76)&amp;"%"</f>
        <v>75%</v>
      </c>
      <c r="Q772" s="18">
        <f>PRODUCT(K772,N772)</f>
        <v>5882.4000000000005</v>
      </c>
    </row>
    <row r="773" spans="1:17" x14ac:dyDescent="0.45">
      <c r="A773" s="6" t="s">
        <v>846</v>
      </c>
      <c r="B773" s="9" t="s">
        <v>842</v>
      </c>
      <c r="C773" s="6" t="s">
        <v>14</v>
      </c>
      <c r="D773" s="18">
        <f ca="1">RANDBETWEEN(500,1000)</f>
        <v>500</v>
      </c>
      <c r="E773" s="19">
        <v>45482</v>
      </c>
      <c r="F773" s="18">
        <v>25</v>
      </c>
      <c r="G773" s="20">
        <v>0.84</v>
      </c>
      <c r="H773" s="18">
        <f t="shared" ca="1" si="48"/>
        <v>64</v>
      </c>
      <c r="I773" s="18">
        <f t="shared" ca="1" si="49"/>
        <v>79</v>
      </c>
      <c r="J773" s="15">
        <f ca="1">K773-L773</f>
        <v>58.7</v>
      </c>
      <c r="K773" s="15">
        <v>124.7</v>
      </c>
      <c r="L773" s="15">
        <f ca="1">RANDBETWEEN(30,87)</f>
        <v>66</v>
      </c>
      <c r="M773" s="11">
        <f ca="1">(L773/J773)</f>
        <v>1.1243611584327087</v>
      </c>
      <c r="N773" s="18">
        <v>24</v>
      </c>
      <c r="O773" s="18" t="str">
        <f t="shared" ca="1" si="50"/>
        <v>Understocked</v>
      </c>
      <c r="P773" s="11" t="str">
        <f ca="1">RANDBETWEEN(30,76)&amp;"%"</f>
        <v>48%</v>
      </c>
      <c r="Q773" s="18">
        <f>PRODUCT(K773,N773)</f>
        <v>2992.8</v>
      </c>
    </row>
    <row r="774" spans="1:17" x14ac:dyDescent="0.45">
      <c r="A774" s="6" t="s">
        <v>847</v>
      </c>
      <c r="B774" s="9" t="s">
        <v>842</v>
      </c>
      <c r="C774" s="6" t="s">
        <v>14</v>
      </c>
      <c r="D774" s="18">
        <f ca="1">RANDBETWEEN(500,1000)</f>
        <v>963</v>
      </c>
      <c r="E774" s="19">
        <v>45623</v>
      </c>
      <c r="F774" s="18">
        <v>52</v>
      </c>
      <c r="G774" s="20">
        <v>0.85</v>
      </c>
      <c r="H774" s="18">
        <f t="shared" ca="1" si="48"/>
        <v>60</v>
      </c>
      <c r="I774" s="18">
        <f t="shared" ca="1" si="49"/>
        <v>71</v>
      </c>
      <c r="J774" s="15">
        <f ca="1">K774-L774</f>
        <v>227</v>
      </c>
      <c r="K774" s="15">
        <v>258</v>
      </c>
      <c r="L774" s="15">
        <f ca="1">RANDBETWEEN(30,87)</f>
        <v>31</v>
      </c>
      <c r="M774" s="11">
        <f ca="1">(L774/J774)</f>
        <v>0.13656387665198239</v>
      </c>
      <c r="N774" s="18">
        <v>95</v>
      </c>
      <c r="O774" s="18" t="str">
        <f t="shared" ca="1" si="50"/>
        <v>Understocked</v>
      </c>
      <c r="P774" s="11" t="str">
        <f ca="1">RANDBETWEEN(30,76)&amp;"%"</f>
        <v>71%</v>
      </c>
      <c r="Q774" s="18">
        <f>PRODUCT(K774,N774)</f>
        <v>24510</v>
      </c>
    </row>
    <row r="775" spans="1:17" x14ac:dyDescent="0.45">
      <c r="A775" s="6" t="s">
        <v>848</v>
      </c>
      <c r="B775" s="9" t="s">
        <v>842</v>
      </c>
      <c r="C775" s="6" t="s">
        <v>14</v>
      </c>
      <c r="D775" s="18">
        <f ca="1">RANDBETWEEN(500,1000)</f>
        <v>555</v>
      </c>
      <c r="E775" s="19">
        <v>45684</v>
      </c>
      <c r="F775" s="18">
        <v>42</v>
      </c>
      <c r="G775" s="20">
        <v>0.36</v>
      </c>
      <c r="H775" s="18">
        <f t="shared" ca="1" si="48"/>
        <v>77</v>
      </c>
      <c r="I775" s="18">
        <f t="shared" ca="1" si="49"/>
        <v>146</v>
      </c>
      <c r="J775" s="15">
        <f ca="1">K775-L775</f>
        <v>645</v>
      </c>
      <c r="K775" s="15">
        <v>688</v>
      </c>
      <c r="L775" s="15">
        <f ca="1">RANDBETWEEN(30,87)</f>
        <v>43</v>
      </c>
      <c r="M775" s="11">
        <f ca="1">(L775/J775)</f>
        <v>6.6666666666666666E-2</v>
      </c>
      <c r="N775" s="18">
        <v>35</v>
      </c>
      <c r="O775" s="18" t="str">
        <f t="shared" ca="1" si="50"/>
        <v>Understocked</v>
      </c>
      <c r="P775" s="11" t="str">
        <f ca="1">RANDBETWEEN(30,76)&amp;"%"</f>
        <v>45%</v>
      </c>
      <c r="Q775" s="18">
        <f>PRODUCT(K775,N775)</f>
        <v>24080</v>
      </c>
    </row>
    <row r="776" spans="1:17" x14ac:dyDescent="0.45">
      <c r="A776" s="6" t="s">
        <v>907</v>
      </c>
      <c r="B776" s="9" t="s">
        <v>908</v>
      </c>
      <c r="C776" s="6" t="s">
        <v>14</v>
      </c>
      <c r="D776" s="18">
        <f ca="1">RANDBETWEEN(500,1000)</f>
        <v>755</v>
      </c>
      <c r="E776" s="19">
        <v>45569</v>
      </c>
      <c r="F776" s="18">
        <v>41</v>
      </c>
      <c r="G776" s="20">
        <v>0.31</v>
      </c>
      <c r="H776" s="18">
        <f t="shared" ca="1" si="48"/>
        <v>68</v>
      </c>
      <c r="I776" s="18">
        <f t="shared" ca="1" si="49"/>
        <v>78</v>
      </c>
      <c r="J776" s="15">
        <f ca="1">K776-L776</f>
        <v>306</v>
      </c>
      <c r="K776" s="15">
        <v>344</v>
      </c>
      <c r="L776" s="15">
        <f ca="1">RANDBETWEEN(30,87)</f>
        <v>38</v>
      </c>
      <c r="M776" s="11">
        <f ca="1">(L776/J776)</f>
        <v>0.12418300653594772</v>
      </c>
      <c r="N776" s="18">
        <v>38</v>
      </c>
      <c r="O776" s="18" t="str">
        <f t="shared" ca="1" si="50"/>
        <v>Understocked</v>
      </c>
      <c r="P776" s="11" t="str">
        <f ca="1">RANDBETWEEN(30,76)&amp;"%"</f>
        <v>73%</v>
      </c>
      <c r="Q776" s="18">
        <f>PRODUCT(K776,N776)</f>
        <v>13072</v>
      </c>
    </row>
    <row r="777" spans="1:17" x14ac:dyDescent="0.45">
      <c r="A777" s="6" t="s">
        <v>909</v>
      </c>
      <c r="B777" s="9" t="s">
        <v>908</v>
      </c>
      <c r="C777" s="6" t="s">
        <v>14</v>
      </c>
      <c r="D777" s="18">
        <f ca="1">RANDBETWEEN(500,1000)</f>
        <v>946</v>
      </c>
      <c r="E777" s="19">
        <v>45441</v>
      </c>
      <c r="F777" s="18">
        <v>22</v>
      </c>
      <c r="G777" s="20">
        <v>0.89</v>
      </c>
      <c r="H777" s="18">
        <f t="shared" ca="1" si="48"/>
        <v>79</v>
      </c>
      <c r="I777" s="18">
        <f t="shared" ca="1" si="49"/>
        <v>104</v>
      </c>
      <c r="J777" s="15">
        <f ca="1">K777-L777</f>
        <v>543</v>
      </c>
      <c r="K777" s="15">
        <v>602</v>
      </c>
      <c r="L777" s="15">
        <f ca="1">RANDBETWEEN(30,87)</f>
        <v>59</v>
      </c>
      <c r="M777" s="11">
        <f ca="1">(L777/J777)</f>
        <v>0.10865561694290976</v>
      </c>
      <c r="N777" s="18">
        <v>68</v>
      </c>
      <c r="O777" s="18" t="str">
        <f t="shared" ca="1" si="50"/>
        <v>Understocked</v>
      </c>
      <c r="P777" s="11" t="str">
        <f ca="1">RANDBETWEEN(30,76)&amp;"%"</f>
        <v>64%</v>
      </c>
      <c r="Q777" s="18">
        <f>PRODUCT(K777,N777)</f>
        <v>40936</v>
      </c>
    </row>
    <row r="778" spans="1:17" x14ac:dyDescent="0.45">
      <c r="A778" s="6" t="s">
        <v>910</v>
      </c>
      <c r="B778" s="9" t="s">
        <v>908</v>
      </c>
      <c r="C778" s="6" t="s">
        <v>14</v>
      </c>
      <c r="D778" s="18">
        <f ca="1">RANDBETWEEN(500,1000)</f>
        <v>625</v>
      </c>
      <c r="E778" s="19">
        <v>45371</v>
      </c>
      <c r="F778" s="18">
        <v>60</v>
      </c>
      <c r="G778" s="20">
        <v>0.77</v>
      </c>
      <c r="H778" s="18">
        <f t="shared" ca="1" si="48"/>
        <v>76</v>
      </c>
      <c r="I778" s="18">
        <f t="shared" ca="1" si="49"/>
        <v>123</v>
      </c>
      <c r="J778" s="15">
        <f ca="1">K778-L778</f>
        <v>431</v>
      </c>
      <c r="K778" s="15">
        <v>516</v>
      </c>
      <c r="L778" s="15">
        <f ca="1">RANDBETWEEN(30,87)</f>
        <v>85</v>
      </c>
      <c r="M778" s="11">
        <f ca="1">(L778/J778)</f>
        <v>0.19721577726218098</v>
      </c>
      <c r="N778" s="18">
        <v>47</v>
      </c>
      <c r="O778" s="18" t="str">
        <f t="shared" ca="1" si="50"/>
        <v>Understocked</v>
      </c>
      <c r="P778" s="11" t="str">
        <f ca="1">RANDBETWEEN(30,76)&amp;"%"</f>
        <v>72%</v>
      </c>
      <c r="Q778" s="18">
        <f>PRODUCT(K778,N778)</f>
        <v>24252</v>
      </c>
    </row>
    <row r="779" spans="1:17" x14ac:dyDescent="0.45">
      <c r="A779" s="6" t="s">
        <v>911</v>
      </c>
      <c r="B779" s="9" t="s">
        <v>908</v>
      </c>
      <c r="C779" s="6" t="s">
        <v>14</v>
      </c>
      <c r="D779" s="18">
        <f ca="1">RANDBETWEEN(500,1000)</f>
        <v>863</v>
      </c>
      <c r="E779" s="19">
        <v>45692</v>
      </c>
      <c r="F779" s="18">
        <v>56</v>
      </c>
      <c r="G779" s="20">
        <v>0.81</v>
      </c>
      <c r="H779" s="18">
        <f t="shared" ref="H779:H842" ca="1" si="51">RANDBETWEEN(50,80)</f>
        <v>53</v>
      </c>
      <c r="I779" s="18">
        <f t="shared" ref="I779:I842" ca="1" si="52">RANDBETWEEN(70,200)</f>
        <v>169</v>
      </c>
      <c r="J779" s="15">
        <f ca="1">K779-L779</f>
        <v>158</v>
      </c>
      <c r="K779" s="15">
        <v>215</v>
      </c>
      <c r="L779" s="15">
        <f ca="1">RANDBETWEEN(30,87)</f>
        <v>57</v>
      </c>
      <c r="M779" s="11">
        <f ca="1">(L779/J779)</f>
        <v>0.36075949367088606</v>
      </c>
      <c r="N779" s="18">
        <v>93</v>
      </c>
      <c r="O779" s="18" t="str">
        <f t="shared" ref="O779:O842" ca="1" si="53">IF(F779&lt;H779,"Understocked","Optimal")</f>
        <v>Optimal</v>
      </c>
      <c r="P779" s="11" t="str">
        <f ca="1">RANDBETWEEN(30,76)&amp;"%"</f>
        <v>74%</v>
      </c>
      <c r="Q779" s="18">
        <f>PRODUCT(K779,N779)</f>
        <v>19995</v>
      </c>
    </row>
    <row r="780" spans="1:17" x14ac:dyDescent="0.45">
      <c r="A780" s="6" t="s">
        <v>912</v>
      </c>
      <c r="B780" s="9" t="s">
        <v>908</v>
      </c>
      <c r="C780" s="6" t="s">
        <v>14</v>
      </c>
      <c r="D780" s="18">
        <f ca="1">RANDBETWEEN(500,1000)</f>
        <v>782</v>
      </c>
      <c r="E780" s="19">
        <v>45524</v>
      </c>
      <c r="F780" s="18">
        <v>64</v>
      </c>
      <c r="G780" s="20">
        <v>0.65</v>
      </c>
      <c r="H780" s="18">
        <f t="shared" ca="1" si="51"/>
        <v>80</v>
      </c>
      <c r="I780" s="18">
        <f t="shared" ca="1" si="52"/>
        <v>167</v>
      </c>
      <c r="J780" s="15">
        <f ca="1">K780-L780</f>
        <v>603</v>
      </c>
      <c r="K780" s="15">
        <v>688</v>
      </c>
      <c r="L780" s="15">
        <f ca="1">RANDBETWEEN(30,87)</f>
        <v>85</v>
      </c>
      <c r="M780" s="11">
        <f ca="1">(L780/J780)</f>
        <v>0.14096185737976782</v>
      </c>
      <c r="N780" s="18">
        <v>48</v>
      </c>
      <c r="O780" s="18" t="str">
        <f t="shared" ca="1" si="53"/>
        <v>Understocked</v>
      </c>
      <c r="P780" s="11" t="str">
        <f ca="1">RANDBETWEEN(30,76)&amp;"%"</f>
        <v>45%</v>
      </c>
      <c r="Q780" s="18">
        <f>PRODUCT(K780,N780)</f>
        <v>33024</v>
      </c>
    </row>
    <row r="781" spans="1:17" x14ac:dyDescent="0.45">
      <c r="A781" s="6" t="s">
        <v>913</v>
      </c>
      <c r="B781" s="9" t="s">
        <v>908</v>
      </c>
      <c r="C781" s="6" t="s">
        <v>14</v>
      </c>
      <c r="D781" s="18">
        <f ca="1">RANDBETWEEN(500,1000)</f>
        <v>717</v>
      </c>
      <c r="E781" s="19">
        <v>45410</v>
      </c>
      <c r="F781" s="18">
        <v>18</v>
      </c>
      <c r="G781" s="20">
        <v>0.87</v>
      </c>
      <c r="H781" s="18">
        <f t="shared" ca="1" si="51"/>
        <v>54</v>
      </c>
      <c r="I781" s="18">
        <f t="shared" ca="1" si="52"/>
        <v>175</v>
      </c>
      <c r="J781" s="15">
        <f ca="1">K781-L781</f>
        <v>504</v>
      </c>
      <c r="K781" s="15">
        <v>559</v>
      </c>
      <c r="L781" s="15">
        <f ca="1">RANDBETWEEN(30,87)</f>
        <v>55</v>
      </c>
      <c r="M781" s="11">
        <f ca="1">(L781/J781)</f>
        <v>0.10912698412698413</v>
      </c>
      <c r="N781" s="18">
        <v>61</v>
      </c>
      <c r="O781" s="18" t="str">
        <f t="shared" ca="1" si="53"/>
        <v>Understocked</v>
      </c>
      <c r="P781" s="11" t="str">
        <f ca="1">RANDBETWEEN(30,76)&amp;"%"</f>
        <v>59%</v>
      </c>
      <c r="Q781" s="18">
        <f>PRODUCT(K781,N781)</f>
        <v>34099</v>
      </c>
    </row>
    <row r="782" spans="1:17" x14ac:dyDescent="0.45">
      <c r="A782" s="6" t="s">
        <v>914</v>
      </c>
      <c r="B782" s="9" t="s">
        <v>908</v>
      </c>
      <c r="C782" s="6" t="s">
        <v>14</v>
      </c>
      <c r="D782" s="18">
        <f ca="1">RANDBETWEEN(500,1000)</f>
        <v>696</v>
      </c>
      <c r="E782" s="19">
        <v>45692</v>
      </c>
      <c r="F782" s="18">
        <v>53</v>
      </c>
      <c r="G782" s="20">
        <v>0.59</v>
      </c>
      <c r="H782" s="18">
        <f t="shared" ca="1" si="51"/>
        <v>71</v>
      </c>
      <c r="I782" s="18">
        <f t="shared" ca="1" si="52"/>
        <v>75</v>
      </c>
      <c r="J782" s="15">
        <f ca="1">K782-L782</f>
        <v>1238</v>
      </c>
      <c r="K782" s="15">
        <v>1290</v>
      </c>
      <c r="L782" s="15">
        <f ca="1">RANDBETWEEN(30,87)</f>
        <v>52</v>
      </c>
      <c r="M782" s="11">
        <f ca="1">(L782/J782)</f>
        <v>4.2003231017770599E-2</v>
      </c>
      <c r="N782" s="18">
        <v>44</v>
      </c>
      <c r="O782" s="18" t="str">
        <f t="shared" ca="1" si="53"/>
        <v>Understocked</v>
      </c>
      <c r="P782" s="11" t="str">
        <f ca="1">RANDBETWEEN(30,76)&amp;"%"</f>
        <v>71%</v>
      </c>
      <c r="Q782" s="18">
        <f>PRODUCT(K782,N782)</f>
        <v>56760</v>
      </c>
    </row>
    <row r="783" spans="1:17" x14ac:dyDescent="0.45">
      <c r="A783" s="6" t="s">
        <v>955</v>
      </c>
      <c r="B783" s="9" t="s">
        <v>956</v>
      </c>
      <c r="C783" s="6" t="s">
        <v>14</v>
      </c>
      <c r="D783" s="18">
        <f ca="1">RANDBETWEEN(500,1000)</f>
        <v>659</v>
      </c>
      <c r="E783" s="19">
        <v>45357</v>
      </c>
      <c r="F783" s="18">
        <v>77</v>
      </c>
      <c r="G783" s="20">
        <v>0.32</v>
      </c>
      <c r="H783" s="18">
        <f t="shared" ca="1" si="51"/>
        <v>70</v>
      </c>
      <c r="I783" s="18">
        <f t="shared" ca="1" si="52"/>
        <v>194</v>
      </c>
      <c r="J783" s="15">
        <f ca="1">K783-L783</f>
        <v>32.200000000000003</v>
      </c>
      <c r="K783" s="15">
        <v>103.2</v>
      </c>
      <c r="L783" s="15">
        <f ca="1">RANDBETWEEN(30,87)</f>
        <v>71</v>
      </c>
      <c r="M783" s="11">
        <f ca="1">(L783/J783)</f>
        <v>2.2049689440993787</v>
      </c>
      <c r="N783" s="18">
        <v>42</v>
      </c>
      <c r="O783" s="18" t="str">
        <f t="shared" ca="1" si="53"/>
        <v>Optimal</v>
      </c>
      <c r="P783" s="11" t="str">
        <f ca="1">RANDBETWEEN(30,76)&amp;"%"</f>
        <v>44%</v>
      </c>
      <c r="Q783" s="18">
        <f>PRODUCT(K783,N783)</f>
        <v>4334.4000000000005</v>
      </c>
    </row>
    <row r="784" spans="1:17" x14ac:dyDescent="0.45">
      <c r="A784" s="6" t="s">
        <v>957</v>
      </c>
      <c r="B784" s="9" t="s">
        <v>956</v>
      </c>
      <c r="C784" s="6" t="s">
        <v>14</v>
      </c>
      <c r="D784" s="18">
        <f ca="1">RANDBETWEEN(500,1000)</f>
        <v>968</v>
      </c>
      <c r="E784" s="19">
        <v>45599</v>
      </c>
      <c r="F784" s="18">
        <v>78</v>
      </c>
      <c r="G784" s="20">
        <v>0.87</v>
      </c>
      <c r="H784" s="18">
        <f t="shared" ca="1" si="51"/>
        <v>73</v>
      </c>
      <c r="I784" s="18">
        <f t="shared" ca="1" si="52"/>
        <v>81</v>
      </c>
      <c r="J784" s="15">
        <f ca="1">K784-L784</f>
        <v>515</v>
      </c>
      <c r="K784" s="15">
        <v>559</v>
      </c>
      <c r="L784" s="15">
        <f ca="1">RANDBETWEEN(30,87)</f>
        <v>44</v>
      </c>
      <c r="M784" s="11">
        <f ca="1">(L784/J784)</f>
        <v>8.5436893203883493E-2</v>
      </c>
      <c r="N784" s="18">
        <v>69</v>
      </c>
      <c r="O784" s="18" t="str">
        <f t="shared" ca="1" si="53"/>
        <v>Optimal</v>
      </c>
      <c r="P784" s="11" t="str">
        <f ca="1">RANDBETWEEN(30,76)&amp;"%"</f>
        <v>30%</v>
      </c>
      <c r="Q784" s="18">
        <f>PRODUCT(K784,N784)</f>
        <v>38571</v>
      </c>
    </row>
    <row r="785" spans="1:17" x14ac:dyDescent="0.45">
      <c r="A785" s="6" t="s">
        <v>958</v>
      </c>
      <c r="B785" s="9" t="s">
        <v>956</v>
      </c>
      <c r="C785" s="6" t="s">
        <v>14</v>
      </c>
      <c r="D785" s="18">
        <f ca="1">RANDBETWEEN(500,1000)</f>
        <v>598</v>
      </c>
      <c r="E785" s="19">
        <v>45646</v>
      </c>
      <c r="F785" s="18">
        <v>36</v>
      </c>
      <c r="G785" s="20">
        <v>0.31</v>
      </c>
      <c r="H785" s="18">
        <f t="shared" ca="1" si="51"/>
        <v>78</v>
      </c>
      <c r="I785" s="18">
        <f t="shared" ca="1" si="52"/>
        <v>146</v>
      </c>
      <c r="J785" s="15">
        <f ca="1">K785-L785</f>
        <v>304</v>
      </c>
      <c r="K785" s="15">
        <v>387</v>
      </c>
      <c r="L785" s="15">
        <f ca="1">RANDBETWEEN(30,87)</f>
        <v>83</v>
      </c>
      <c r="M785" s="11">
        <f ca="1">(L785/J785)</f>
        <v>0.27302631578947367</v>
      </c>
      <c r="N785" s="18">
        <v>73</v>
      </c>
      <c r="O785" s="18" t="str">
        <f t="shared" ca="1" si="53"/>
        <v>Understocked</v>
      </c>
      <c r="P785" s="11" t="str">
        <f ca="1">RANDBETWEEN(30,76)&amp;"%"</f>
        <v>58%</v>
      </c>
      <c r="Q785" s="18">
        <f>PRODUCT(K785,N785)</f>
        <v>28251</v>
      </c>
    </row>
    <row r="786" spans="1:17" x14ac:dyDescent="0.45">
      <c r="A786" s="6" t="s">
        <v>960</v>
      </c>
      <c r="B786" s="9" t="s">
        <v>956</v>
      </c>
      <c r="C786" s="6" t="s">
        <v>14</v>
      </c>
      <c r="D786" s="18">
        <f ca="1">RANDBETWEEN(500,1000)</f>
        <v>775</v>
      </c>
      <c r="E786" s="19">
        <v>45676</v>
      </c>
      <c r="F786" s="18">
        <v>75</v>
      </c>
      <c r="G786" s="20">
        <v>0.73</v>
      </c>
      <c r="H786" s="18">
        <f t="shared" ca="1" si="51"/>
        <v>58</v>
      </c>
      <c r="I786" s="18">
        <f t="shared" ca="1" si="52"/>
        <v>193</v>
      </c>
      <c r="J786" s="15">
        <f ca="1">K786-L786</f>
        <v>145</v>
      </c>
      <c r="K786" s="15">
        <v>215</v>
      </c>
      <c r="L786" s="15">
        <f ca="1">RANDBETWEEN(30,87)</f>
        <v>70</v>
      </c>
      <c r="M786" s="11">
        <f ca="1">(L786/J786)</f>
        <v>0.48275862068965519</v>
      </c>
      <c r="N786" s="18">
        <v>43</v>
      </c>
      <c r="O786" s="18" t="str">
        <f t="shared" ca="1" si="53"/>
        <v>Optimal</v>
      </c>
      <c r="P786" s="11" t="str">
        <f ca="1">RANDBETWEEN(30,76)&amp;"%"</f>
        <v>34%</v>
      </c>
      <c r="Q786" s="18">
        <f>PRODUCT(K786,N786)</f>
        <v>9245</v>
      </c>
    </row>
    <row r="787" spans="1:17" x14ac:dyDescent="0.45">
      <c r="A787" s="6" t="s">
        <v>961</v>
      </c>
      <c r="B787" s="9" t="s">
        <v>956</v>
      </c>
      <c r="C787" s="6" t="s">
        <v>14</v>
      </c>
      <c r="D787" s="18">
        <f ca="1">RANDBETWEEN(500,1000)</f>
        <v>679</v>
      </c>
      <c r="E787" s="19">
        <v>45654</v>
      </c>
      <c r="F787" s="18">
        <v>84</v>
      </c>
      <c r="G787" s="20">
        <v>0.71</v>
      </c>
      <c r="H787" s="18">
        <f t="shared" ca="1" si="51"/>
        <v>76</v>
      </c>
      <c r="I787" s="18">
        <f t="shared" ca="1" si="52"/>
        <v>182</v>
      </c>
      <c r="J787" s="15">
        <f ca="1">K787-L787</f>
        <v>569</v>
      </c>
      <c r="K787" s="15">
        <v>602</v>
      </c>
      <c r="L787" s="15">
        <f ca="1">RANDBETWEEN(30,87)</f>
        <v>33</v>
      </c>
      <c r="M787" s="11">
        <f ca="1">(L787/J787)</f>
        <v>5.7996485061511421E-2</v>
      </c>
      <c r="N787" s="18">
        <v>39</v>
      </c>
      <c r="O787" s="18" t="str">
        <f t="shared" ca="1" si="53"/>
        <v>Optimal</v>
      </c>
      <c r="P787" s="11" t="str">
        <f ca="1">RANDBETWEEN(30,76)&amp;"%"</f>
        <v>66%</v>
      </c>
      <c r="Q787" s="18">
        <f>PRODUCT(K787,N787)</f>
        <v>23478</v>
      </c>
    </row>
    <row r="788" spans="1:17" x14ac:dyDescent="0.45">
      <c r="A788" s="6" t="s">
        <v>962</v>
      </c>
      <c r="B788" s="9" t="s">
        <v>956</v>
      </c>
      <c r="C788" s="6" t="s">
        <v>14</v>
      </c>
      <c r="D788" s="18">
        <f ca="1">RANDBETWEEN(500,1000)</f>
        <v>692</v>
      </c>
      <c r="E788" s="19">
        <v>45431</v>
      </c>
      <c r="F788" s="18">
        <v>47</v>
      </c>
      <c r="G788" s="20">
        <v>0.66</v>
      </c>
      <c r="H788" s="18">
        <f t="shared" ca="1" si="51"/>
        <v>54</v>
      </c>
      <c r="I788" s="18">
        <f t="shared" ca="1" si="52"/>
        <v>135</v>
      </c>
      <c r="J788" s="15">
        <f ca="1">K788-L788</f>
        <v>399</v>
      </c>
      <c r="K788" s="15">
        <v>473</v>
      </c>
      <c r="L788" s="15">
        <f ca="1">RANDBETWEEN(30,87)</f>
        <v>74</v>
      </c>
      <c r="M788" s="11">
        <f ca="1">(L788/J788)</f>
        <v>0.18546365914786966</v>
      </c>
      <c r="N788" s="18">
        <v>32</v>
      </c>
      <c r="O788" s="18" t="str">
        <f t="shared" ca="1" si="53"/>
        <v>Understocked</v>
      </c>
      <c r="P788" s="11" t="str">
        <f ca="1">RANDBETWEEN(30,76)&amp;"%"</f>
        <v>69%</v>
      </c>
      <c r="Q788" s="18">
        <f>PRODUCT(K788,N788)</f>
        <v>15136</v>
      </c>
    </row>
    <row r="789" spans="1:17" x14ac:dyDescent="0.45">
      <c r="A789" s="6" t="s">
        <v>963</v>
      </c>
      <c r="B789" s="9" t="s">
        <v>956</v>
      </c>
      <c r="C789" s="6" t="s">
        <v>14</v>
      </c>
      <c r="D789" s="18">
        <f ca="1">RANDBETWEEN(500,1000)</f>
        <v>698</v>
      </c>
      <c r="E789" s="19">
        <v>45573</v>
      </c>
      <c r="F789" s="18">
        <v>10</v>
      </c>
      <c r="G789" s="20">
        <v>0.33</v>
      </c>
      <c r="H789" s="18">
        <f t="shared" ca="1" si="51"/>
        <v>54</v>
      </c>
      <c r="I789" s="18">
        <f t="shared" ca="1" si="52"/>
        <v>184</v>
      </c>
      <c r="J789" s="15">
        <f ca="1">K789-L789</f>
        <v>977</v>
      </c>
      <c r="K789" s="15">
        <v>1032</v>
      </c>
      <c r="L789" s="15">
        <f ca="1">RANDBETWEEN(30,87)</f>
        <v>55</v>
      </c>
      <c r="M789" s="11">
        <f ca="1">(L789/J789)</f>
        <v>5.6294779938587509E-2</v>
      </c>
      <c r="N789" s="18">
        <v>29</v>
      </c>
      <c r="O789" s="18" t="str">
        <f t="shared" ca="1" si="53"/>
        <v>Understocked</v>
      </c>
      <c r="P789" s="11" t="str">
        <f ca="1">RANDBETWEEN(30,76)&amp;"%"</f>
        <v>74%</v>
      </c>
      <c r="Q789" s="18">
        <f>PRODUCT(K789,N789)</f>
        <v>29928</v>
      </c>
    </row>
    <row r="790" spans="1:17" x14ac:dyDescent="0.45">
      <c r="A790" s="6" t="s">
        <v>964</v>
      </c>
      <c r="B790" s="9" t="s">
        <v>956</v>
      </c>
      <c r="C790" s="6" t="s">
        <v>14</v>
      </c>
      <c r="D790" s="18">
        <f ca="1">RANDBETWEEN(500,1000)</f>
        <v>594</v>
      </c>
      <c r="E790" s="19">
        <v>45472</v>
      </c>
      <c r="F790" s="18">
        <v>22</v>
      </c>
      <c r="G790" s="20">
        <v>0.33</v>
      </c>
      <c r="H790" s="18">
        <f t="shared" ca="1" si="51"/>
        <v>65</v>
      </c>
      <c r="I790" s="18">
        <f t="shared" ca="1" si="52"/>
        <v>146</v>
      </c>
      <c r="J790" s="15">
        <f ca="1">K790-L790</f>
        <v>588</v>
      </c>
      <c r="K790" s="15">
        <v>645</v>
      </c>
      <c r="L790" s="15">
        <f ca="1">RANDBETWEEN(30,87)</f>
        <v>57</v>
      </c>
      <c r="M790" s="11">
        <f ca="1">(L790/J790)</f>
        <v>9.6938775510204078E-2</v>
      </c>
      <c r="N790" s="18">
        <v>32</v>
      </c>
      <c r="O790" s="18" t="str">
        <f t="shared" ca="1" si="53"/>
        <v>Understocked</v>
      </c>
      <c r="P790" s="11" t="str">
        <f ca="1">RANDBETWEEN(30,76)&amp;"%"</f>
        <v>51%</v>
      </c>
      <c r="Q790" s="18">
        <f>PRODUCT(K790,N790)</f>
        <v>20640</v>
      </c>
    </row>
    <row r="791" spans="1:17" x14ac:dyDescent="0.45">
      <c r="A791" s="6" t="s">
        <v>965</v>
      </c>
      <c r="B791" s="9" t="s">
        <v>956</v>
      </c>
      <c r="C791" s="6" t="s">
        <v>14</v>
      </c>
      <c r="D791" s="18">
        <f ca="1">RANDBETWEEN(500,1000)</f>
        <v>543</v>
      </c>
      <c r="E791" s="19">
        <v>45472</v>
      </c>
      <c r="F791" s="18">
        <v>19</v>
      </c>
      <c r="G791" s="20">
        <v>0.7</v>
      </c>
      <c r="H791" s="18">
        <f t="shared" ca="1" si="51"/>
        <v>67</v>
      </c>
      <c r="I791" s="18">
        <f t="shared" ca="1" si="52"/>
        <v>159</v>
      </c>
      <c r="J791" s="15">
        <f ca="1">K791-L791</f>
        <v>185</v>
      </c>
      <c r="K791" s="15">
        <v>215</v>
      </c>
      <c r="L791" s="15">
        <f ca="1">RANDBETWEEN(30,87)</f>
        <v>30</v>
      </c>
      <c r="M791" s="11">
        <f ca="1">(L791/J791)</f>
        <v>0.16216216216216217</v>
      </c>
      <c r="N791" s="18">
        <v>58</v>
      </c>
      <c r="O791" s="18" t="str">
        <f t="shared" ca="1" si="53"/>
        <v>Understocked</v>
      </c>
      <c r="P791" s="11" t="str">
        <f ca="1">RANDBETWEEN(30,76)&amp;"%"</f>
        <v>45%</v>
      </c>
      <c r="Q791" s="18">
        <f>PRODUCT(K791,N791)</f>
        <v>12470</v>
      </c>
    </row>
    <row r="792" spans="1:17" x14ac:dyDescent="0.45">
      <c r="A792" s="6" t="s">
        <v>1060</v>
      </c>
      <c r="B792" s="9" t="s">
        <v>1061</v>
      </c>
      <c r="C792" s="6" t="s">
        <v>14</v>
      </c>
      <c r="D792" s="18">
        <f ca="1">RANDBETWEEN(500,1000)</f>
        <v>889</v>
      </c>
      <c r="E792" s="19">
        <v>45495</v>
      </c>
      <c r="F792" s="18">
        <v>80</v>
      </c>
      <c r="G792" s="20">
        <v>0.38</v>
      </c>
      <c r="H792" s="18">
        <f t="shared" ca="1" si="51"/>
        <v>79</v>
      </c>
      <c r="I792" s="18">
        <f t="shared" ca="1" si="52"/>
        <v>103</v>
      </c>
      <c r="J792" s="15">
        <f ca="1">K792-L792</f>
        <v>644</v>
      </c>
      <c r="K792" s="15">
        <v>688</v>
      </c>
      <c r="L792" s="15">
        <f ca="1">RANDBETWEEN(30,87)</f>
        <v>44</v>
      </c>
      <c r="M792" s="11">
        <f ca="1">(L792/J792)</f>
        <v>6.8322981366459631E-2</v>
      </c>
      <c r="N792" s="18">
        <v>46</v>
      </c>
      <c r="O792" s="18" t="str">
        <f t="shared" ca="1" si="53"/>
        <v>Optimal</v>
      </c>
      <c r="P792" s="11" t="str">
        <f ca="1">RANDBETWEEN(30,76)&amp;"%"</f>
        <v>31%</v>
      </c>
      <c r="Q792" s="18">
        <f>PRODUCT(K792,N792)</f>
        <v>31648</v>
      </c>
    </row>
    <row r="793" spans="1:17" x14ac:dyDescent="0.45">
      <c r="A793" s="6" t="s">
        <v>1062</v>
      </c>
      <c r="B793" s="9" t="s">
        <v>1061</v>
      </c>
      <c r="C793" s="6" t="s">
        <v>14</v>
      </c>
      <c r="D793" s="18">
        <f ca="1">RANDBETWEEN(500,1000)</f>
        <v>740</v>
      </c>
      <c r="E793" s="19">
        <v>45674</v>
      </c>
      <c r="F793" s="18">
        <v>54</v>
      </c>
      <c r="G793" s="20">
        <v>0.41</v>
      </c>
      <c r="H793" s="18">
        <f t="shared" ca="1" si="51"/>
        <v>64</v>
      </c>
      <c r="I793" s="18">
        <f t="shared" ca="1" si="52"/>
        <v>100</v>
      </c>
      <c r="J793" s="15">
        <f ca="1">K793-L793</f>
        <v>171</v>
      </c>
      <c r="K793" s="15">
        <v>215</v>
      </c>
      <c r="L793" s="15">
        <f ca="1">RANDBETWEEN(30,87)</f>
        <v>44</v>
      </c>
      <c r="M793" s="11">
        <f ca="1">(L793/J793)</f>
        <v>0.25730994152046782</v>
      </c>
      <c r="N793" s="18">
        <v>94</v>
      </c>
      <c r="O793" s="18" t="str">
        <f t="shared" ca="1" si="53"/>
        <v>Understocked</v>
      </c>
      <c r="P793" s="11" t="str">
        <f ca="1">RANDBETWEEN(30,76)&amp;"%"</f>
        <v>71%</v>
      </c>
      <c r="Q793" s="18">
        <f>PRODUCT(K793,N793)</f>
        <v>20210</v>
      </c>
    </row>
    <row r="794" spans="1:17" x14ac:dyDescent="0.45">
      <c r="A794" s="6" t="s">
        <v>1063</v>
      </c>
      <c r="B794" s="9" t="s">
        <v>1061</v>
      </c>
      <c r="C794" s="6" t="s">
        <v>14</v>
      </c>
      <c r="D794" s="18">
        <f ca="1">RANDBETWEEN(500,1000)</f>
        <v>603</v>
      </c>
      <c r="E794" s="19">
        <v>45444</v>
      </c>
      <c r="F794" s="18">
        <v>20</v>
      </c>
      <c r="G794" s="20">
        <v>0.73</v>
      </c>
      <c r="H794" s="18">
        <f t="shared" ca="1" si="51"/>
        <v>61</v>
      </c>
      <c r="I794" s="18">
        <f t="shared" ca="1" si="52"/>
        <v>167</v>
      </c>
      <c r="J794" s="15">
        <f ca="1">K794-L794</f>
        <v>649</v>
      </c>
      <c r="K794" s="15">
        <v>731</v>
      </c>
      <c r="L794" s="15">
        <f ca="1">RANDBETWEEN(30,87)</f>
        <v>82</v>
      </c>
      <c r="M794" s="11">
        <f ca="1">(L794/J794)</f>
        <v>0.1263482280431433</v>
      </c>
      <c r="N794" s="18">
        <v>62</v>
      </c>
      <c r="O794" s="18" t="str">
        <f t="shared" ca="1" si="53"/>
        <v>Understocked</v>
      </c>
      <c r="P794" s="11" t="str">
        <f ca="1">RANDBETWEEN(30,76)&amp;"%"</f>
        <v>30%</v>
      </c>
      <c r="Q794" s="18">
        <f>PRODUCT(K794,N794)</f>
        <v>45322</v>
      </c>
    </row>
    <row r="795" spans="1:17" x14ac:dyDescent="0.45">
      <c r="A795" s="6" t="s">
        <v>1064</v>
      </c>
      <c r="B795" s="9" t="s">
        <v>1061</v>
      </c>
      <c r="C795" s="6" t="s">
        <v>14</v>
      </c>
      <c r="D795" s="18">
        <f ca="1">RANDBETWEEN(500,1000)</f>
        <v>961</v>
      </c>
      <c r="E795" s="19">
        <v>45630</v>
      </c>
      <c r="F795" s="18">
        <v>18</v>
      </c>
      <c r="G795" s="20">
        <v>0.82</v>
      </c>
      <c r="H795" s="18">
        <f t="shared" ca="1" si="51"/>
        <v>73</v>
      </c>
      <c r="I795" s="18">
        <f t="shared" ca="1" si="52"/>
        <v>187</v>
      </c>
      <c r="J795" s="15">
        <f ca="1">K795-L795</f>
        <v>787</v>
      </c>
      <c r="K795" s="15">
        <v>860</v>
      </c>
      <c r="L795" s="15">
        <f ca="1">RANDBETWEEN(30,87)</f>
        <v>73</v>
      </c>
      <c r="M795" s="11">
        <f ca="1">(L795/J795)</f>
        <v>9.2757306226175354E-2</v>
      </c>
      <c r="N795" s="18">
        <v>64</v>
      </c>
      <c r="O795" s="18" t="str">
        <f t="shared" ca="1" si="53"/>
        <v>Understocked</v>
      </c>
      <c r="P795" s="11" t="str">
        <f ca="1">RANDBETWEEN(30,76)&amp;"%"</f>
        <v>57%</v>
      </c>
      <c r="Q795" s="18">
        <f>PRODUCT(K795,N795)</f>
        <v>55040</v>
      </c>
    </row>
    <row r="796" spans="1:17" x14ac:dyDescent="0.45">
      <c r="A796" s="6" t="s">
        <v>1065</v>
      </c>
      <c r="B796" s="9" t="s">
        <v>1066</v>
      </c>
      <c r="C796" s="6" t="s">
        <v>14</v>
      </c>
      <c r="D796" s="18">
        <f ca="1">RANDBETWEEN(500,1000)</f>
        <v>502</v>
      </c>
      <c r="E796" s="19">
        <v>45395</v>
      </c>
      <c r="F796" s="18">
        <v>24</v>
      </c>
      <c r="G796" s="20">
        <v>0.8</v>
      </c>
      <c r="H796" s="18">
        <f t="shared" ca="1" si="51"/>
        <v>58</v>
      </c>
      <c r="I796" s="18">
        <f t="shared" ca="1" si="52"/>
        <v>175</v>
      </c>
      <c r="J796" s="15">
        <f ca="1">K796-L796</f>
        <v>75</v>
      </c>
      <c r="K796" s="15">
        <v>129</v>
      </c>
      <c r="L796" s="15">
        <f ca="1">RANDBETWEEN(30,87)</f>
        <v>54</v>
      </c>
      <c r="M796" s="11">
        <f ca="1">(L796/J796)</f>
        <v>0.72</v>
      </c>
      <c r="N796" s="18">
        <v>20</v>
      </c>
      <c r="O796" s="18" t="str">
        <f t="shared" ca="1" si="53"/>
        <v>Understocked</v>
      </c>
      <c r="P796" s="11" t="str">
        <f ca="1">RANDBETWEEN(30,76)&amp;"%"</f>
        <v>47%</v>
      </c>
      <c r="Q796" s="18">
        <f>PRODUCT(K796,N796)</f>
        <v>2580</v>
      </c>
    </row>
    <row r="797" spans="1:17" x14ac:dyDescent="0.45">
      <c r="A797" s="6" t="s">
        <v>1067</v>
      </c>
      <c r="B797" s="9" t="s">
        <v>1066</v>
      </c>
      <c r="C797" s="6" t="s">
        <v>14</v>
      </c>
      <c r="D797" s="18">
        <f ca="1">RANDBETWEEN(500,1000)</f>
        <v>826</v>
      </c>
      <c r="E797" s="19">
        <v>45704</v>
      </c>
      <c r="F797" s="18">
        <v>13</v>
      </c>
      <c r="G797" s="20">
        <v>0.7</v>
      </c>
      <c r="H797" s="18">
        <f t="shared" ca="1" si="51"/>
        <v>61</v>
      </c>
      <c r="I797" s="18">
        <f t="shared" ca="1" si="52"/>
        <v>128</v>
      </c>
      <c r="J797" s="15">
        <f ca="1">K797-L797</f>
        <v>441</v>
      </c>
      <c r="K797" s="15">
        <v>516</v>
      </c>
      <c r="L797" s="15">
        <f ca="1">RANDBETWEEN(30,87)</f>
        <v>75</v>
      </c>
      <c r="M797" s="11">
        <f ca="1">(L797/J797)</f>
        <v>0.17006802721088435</v>
      </c>
      <c r="N797" s="18">
        <v>38</v>
      </c>
      <c r="O797" s="18" t="str">
        <f t="shared" ca="1" si="53"/>
        <v>Understocked</v>
      </c>
      <c r="P797" s="11" t="str">
        <f ca="1">RANDBETWEEN(30,76)&amp;"%"</f>
        <v>37%</v>
      </c>
      <c r="Q797" s="18">
        <f>PRODUCT(K797,N797)</f>
        <v>19608</v>
      </c>
    </row>
    <row r="798" spans="1:17" x14ac:dyDescent="0.45">
      <c r="A798" s="6" t="s">
        <v>1068</v>
      </c>
      <c r="B798" s="9" t="s">
        <v>1066</v>
      </c>
      <c r="C798" s="6" t="s">
        <v>14</v>
      </c>
      <c r="D798" s="18">
        <f ca="1">RANDBETWEEN(500,1000)</f>
        <v>948</v>
      </c>
      <c r="E798" s="19">
        <v>45383</v>
      </c>
      <c r="F798" s="18">
        <v>42</v>
      </c>
      <c r="G798" s="20">
        <v>0.32</v>
      </c>
      <c r="H798" s="18">
        <f t="shared" ca="1" si="51"/>
        <v>53</v>
      </c>
      <c r="I798" s="18">
        <f t="shared" ca="1" si="52"/>
        <v>121</v>
      </c>
      <c r="J798" s="15">
        <f ca="1">K798-L798</f>
        <v>768</v>
      </c>
      <c r="K798" s="15">
        <v>817</v>
      </c>
      <c r="L798" s="15">
        <f ca="1">RANDBETWEEN(30,87)</f>
        <v>49</v>
      </c>
      <c r="M798" s="11">
        <f ca="1">(L798/J798)</f>
        <v>6.3802083333333329E-2</v>
      </c>
      <c r="N798" s="18">
        <v>80</v>
      </c>
      <c r="O798" s="18" t="str">
        <f t="shared" ca="1" si="53"/>
        <v>Understocked</v>
      </c>
      <c r="P798" s="11" t="str">
        <f ca="1">RANDBETWEEN(30,76)&amp;"%"</f>
        <v>44%</v>
      </c>
      <c r="Q798" s="18">
        <f>PRODUCT(K798,N798)</f>
        <v>65360</v>
      </c>
    </row>
    <row r="799" spans="1:17" x14ac:dyDescent="0.45">
      <c r="A799" s="6" t="s">
        <v>1069</v>
      </c>
      <c r="B799" s="9" t="s">
        <v>1066</v>
      </c>
      <c r="C799" s="6" t="s">
        <v>14</v>
      </c>
      <c r="D799" s="18">
        <f ca="1">RANDBETWEEN(500,1000)</f>
        <v>830</v>
      </c>
      <c r="E799" s="19">
        <v>45637</v>
      </c>
      <c r="F799" s="18">
        <v>91</v>
      </c>
      <c r="G799" s="20">
        <v>0.78</v>
      </c>
      <c r="H799" s="18">
        <f t="shared" ca="1" si="51"/>
        <v>57</v>
      </c>
      <c r="I799" s="18">
        <f t="shared" ca="1" si="52"/>
        <v>86</v>
      </c>
      <c r="J799" s="15">
        <f ca="1">K799-L799</f>
        <v>612.6</v>
      </c>
      <c r="K799" s="15">
        <v>696.6</v>
      </c>
      <c r="L799" s="15">
        <f ca="1">RANDBETWEEN(30,87)</f>
        <v>84</v>
      </c>
      <c r="M799" s="11">
        <f ca="1">(L799/J799)</f>
        <v>0.13712047012732614</v>
      </c>
      <c r="N799" s="18">
        <v>100</v>
      </c>
      <c r="O799" s="18" t="str">
        <f t="shared" ca="1" si="53"/>
        <v>Optimal</v>
      </c>
      <c r="P799" s="11" t="str">
        <f ca="1">RANDBETWEEN(30,76)&amp;"%"</f>
        <v>57%</v>
      </c>
      <c r="Q799" s="18">
        <f>PRODUCT(K799,N799)</f>
        <v>69660</v>
      </c>
    </row>
    <row r="800" spans="1:17" x14ac:dyDescent="0.45">
      <c r="A800" s="6" t="s">
        <v>1070</v>
      </c>
      <c r="B800" s="9" t="s">
        <v>1066</v>
      </c>
      <c r="C800" s="6" t="s">
        <v>14</v>
      </c>
      <c r="D800" s="18">
        <f ca="1">RANDBETWEEN(500,1000)</f>
        <v>692</v>
      </c>
      <c r="E800" s="19">
        <v>45712</v>
      </c>
      <c r="F800" s="18">
        <v>29</v>
      </c>
      <c r="G800" s="20">
        <v>0.31</v>
      </c>
      <c r="H800" s="18">
        <f t="shared" ca="1" si="51"/>
        <v>53</v>
      </c>
      <c r="I800" s="18">
        <f t="shared" ca="1" si="52"/>
        <v>141</v>
      </c>
      <c r="J800" s="15">
        <f ca="1">K800-L800</f>
        <v>85.800000000000011</v>
      </c>
      <c r="K800" s="15">
        <v>154.80000000000001</v>
      </c>
      <c r="L800" s="15">
        <f ca="1">RANDBETWEEN(30,87)</f>
        <v>69</v>
      </c>
      <c r="M800" s="11">
        <f ca="1">(L800/J800)</f>
        <v>0.80419580419580405</v>
      </c>
      <c r="N800" s="18">
        <v>58</v>
      </c>
      <c r="O800" s="18" t="str">
        <f t="shared" ca="1" si="53"/>
        <v>Understocked</v>
      </c>
      <c r="P800" s="11" t="str">
        <f ca="1">RANDBETWEEN(30,76)&amp;"%"</f>
        <v>76%</v>
      </c>
      <c r="Q800" s="18">
        <f>PRODUCT(K800,N800)</f>
        <v>8978.4000000000015</v>
      </c>
    </row>
    <row r="801" spans="1:17" x14ac:dyDescent="0.45">
      <c r="A801" s="6" t="s">
        <v>1071</v>
      </c>
      <c r="B801" s="9" t="s">
        <v>1066</v>
      </c>
      <c r="C801" s="6" t="s">
        <v>14</v>
      </c>
      <c r="D801" s="18">
        <f ca="1">RANDBETWEEN(500,1000)</f>
        <v>901</v>
      </c>
      <c r="E801" s="19">
        <v>45372</v>
      </c>
      <c r="F801" s="18">
        <v>38</v>
      </c>
      <c r="G801" s="20">
        <v>0.61</v>
      </c>
      <c r="H801" s="18">
        <f t="shared" ca="1" si="51"/>
        <v>74</v>
      </c>
      <c r="I801" s="18">
        <f t="shared" ca="1" si="52"/>
        <v>170</v>
      </c>
      <c r="J801" s="15">
        <f ca="1">K801-L801</f>
        <v>440.40000000000003</v>
      </c>
      <c r="K801" s="15">
        <v>507.40000000000003</v>
      </c>
      <c r="L801" s="15">
        <f ca="1">RANDBETWEEN(30,87)</f>
        <v>67</v>
      </c>
      <c r="M801" s="11">
        <f ca="1">(L801/J801)</f>
        <v>0.15213442325158946</v>
      </c>
      <c r="N801" s="18">
        <v>52</v>
      </c>
      <c r="O801" s="18" t="str">
        <f t="shared" ca="1" si="53"/>
        <v>Understocked</v>
      </c>
      <c r="P801" s="11" t="str">
        <f ca="1">RANDBETWEEN(30,76)&amp;"%"</f>
        <v>48%</v>
      </c>
      <c r="Q801" s="18">
        <f>PRODUCT(K801,N801)</f>
        <v>26384.800000000003</v>
      </c>
    </row>
    <row r="802" spans="1:17" x14ac:dyDescent="0.45">
      <c r="A802" s="6" t="s">
        <v>1072</v>
      </c>
      <c r="B802" s="9" t="s">
        <v>1066</v>
      </c>
      <c r="C802" s="6" t="s">
        <v>14</v>
      </c>
      <c r="D802" s="18">
        <f ca="1">RANDBETWEEN(500,1000)</f>
        <v>892</v>
      </c>
      <c r="E802" s="19">
        <v>45405</v>
      </c>
      <c r="F802" s="18">
        <v>39</v>
      </c>
      <c r="G802" s="20">
        <v>0.56000000000000005</v>
      </c>
      <c r="H802" s="18">
        <f t="shared" ca="1" si="51"/>
        <v>67</v>
      </c>
      <c r="I802" s="18">
        <f t="shared" ca="1" si="52"/>
        <v>148</v>
      </c>
      <c r="J802" s="15">
        <f ca="1">K802-L802</f>
        <v>778</v>
      </c>
      <c r="K802" s="15">
        <v>817</v>
      </c>
      <c r="L802" s="15">
        <f ca="1">RANDBETWEEN(30,87)</f>
        <v>39</v>
      </c>
      <c r="M802" s="11">
        <f ca="1">(L802/J802)</f>
        <v>5.0128534704370183E-2</v>
      </c>
      <c r="N802" s="18">
        <v>73</v>
      </c>
      <c r="O802" s="18" t="str">
        <f t="shared" ca="1" si="53"/>
        <v>Understocked</v>
      </c>
      <c r="P802" s="11" t="str">
        <f ca="1">RANDBETWEEN(30,76)&amp;"%"</f>
        <v>58%</v>
      </c>
      <c r="Q802" s="18">
        <f>PRODUCT(K802,N802)</f>
        <v>59641</v>
      </c>
    </row>
    <row r="803" spans="1:17" x14ac:dyDescent="0.45">
      <c r="A803" s="6" t="s">
        <v>1073</v>
      </c>
      <c r="B803" s="9" t="s">
        <v>1066</v>
      </c>
      <c r="C803" s="6" t="s">
        <v>14</v>
      </c>
      <c r="D803" s="18">
        <f ca="1">RANDBETWEEN(500,1000)</f>
        <v>831</v>
      </c>
      <c r="E803" s="19">
        <v>45555</v>
      </c>
      <c r="F803" s="18">
        <v>47</v>
      </c>
      <c r="G803" s="20">
        <v>0.77</v>
      </c>
      <c r="H803" s="18">
        <f t="shared" ca="1" si="51"/>
        <v>76</v>
      </c>
      <c r="I803" s="18">
        <f t="shared" ca="1" si="52"/>
        <v>167</v>
      </c>
      <c r="J803" s="15">
        <f ca="1">K803-L803</f>
        <v>103</v>
      </c>
      <c r="K803" s="15">
        <v>172</v>
      </c>
      <c r="L803" s="15">
        <f ca="1">RANDBETWEEN(30,87)</f>
        <v>69</v>
      </c>
      <c r="M803" s="11">
        <f ca="1">(L803/J803)</f>
        <v>0.66990291262135926</v>
      </c>
      <c r="N803" s="18">
        <v>29</v>
      </c>
      <c r="O803" s="18" t="str">
        <f t="shared" ca="1" si="53"/>
        <v>Understocked</v>
      </c>
      <c r="P803" s="11" t="str">
        <f ca="1">RANDBETWEEN(30,76)&amp;"%"</f>
        <v>69%</v>
      </c>
      <c r="Q803" s="18">
        <f>PRODUCT(K803,N803)</f>
        <v>4988</v>
      </c>
    </row>
    <row r="804" spans="1:17" x14ac:dyDescent="0.45">
      <c r="A804" s="6" t="s">
        <v>1074</v>
      </c>
      <c r="B804" s="9" t="s">
        <v>1066</v>
      </c>
      <c r="C804" s="6" t="s">
        <v>14</v>
      </c>
      <c r="D804" s="18">
        <f ca="1">RANDBETWEEN(500,1000)</f>
        <v>701</v>
      </c>
      <c r="E804" s="19">
        <v>45696</v>
      </c>
      <c r="F804" s="18">
        <v>65</v>
      </c>
      <c r="G804" s="20">
        <v>0.59</v>
      </c>
      <c r="H804" s="18">
        <f t="shared" ca="1" si="51"/>
        <v>67</v>
      </c>
      <c r="I804" s="18">
        <f t="shared" ca="1" si="52"/>
        <v>151</v>
      </c>
      <c r="J804" s="15">
        <f ca="1">K804-L804</f>
        <v>165</v>
      </c>
      <c r="K804" s="15">
        <v>215</v>
      </c>
      <c r="L804" s="15">
        <f ca="1">RANDBETWEEN(30,87)</f>
        <v>50</v>
      </c>
      <c r="M804" s="11">
        <f ca="1">(L804/J804)</f>
        <v>0.30303030303030304</v>
      </c>
      <c r="N804" s="18">
        <v>29</v>
      </c>
      <c r="O804" s="18" t="str">
        <f t="shared" ca="1" si="53"/>
        <v>Understocked</v>
      </c>
      <c r="P804" s="11" t="str">
        <f ca="1">RANDBETWEEN(30,76)&amp;"%"</f>
        <v>58%</v>
      </c>
      <c r="Q804" s="18">
        <f>PRODUCT(K804,N804)</f>
        <v>6235</v>
      </c>
    </row>
    <row r="805" spans="1:17" x14ac:dyDescent="0.45">
      <c r="A805" s="6" t="s">
        <v>1075</v>
      </c>
      <c r="B805" s="9" t="s">
        <v>1066</v>
      </c>
      <c r="C805" s="6" t="s">
        <v>14</v>
      </c>
      <c r="D805" s="18">
        <f ca="1">RANDBETWEEN(500,1000)</f>
        <v>770</v>
      </c>
      <c r="E805" s="19">
        <v>45354</v>
      </c>
      <c r="F805" s="18">
        <v>14</v>
      </c>
      <c r="G805" s="20">
        <v>0.77</v>
      </c>
      <c r="H805" s="18">
        <f t="shared" ca="1" si="51"/>
        <v>51</v>
      </c>
      <c r="I805" s="18">
        <f t="shared" ca="1" si="52"/>
        <v>81</v>
      </c>
      <c r="J805" s="15">
        <f ca="1">K805-L805</f>
        <v>112.5</v>
      </c>
      <c r="K805" s="15">
        <v>150.5</v>
      </c>
      <c r="L805" s="15">
        <f ca="1">RANDBETWEEN(30,87)</f>
        <v>38</v>
      </c>
      <c r="M805" s="11">
        <f ca="1">(L805/J805)</f>
        <v>0.33777777777777779</v>
      </c>
      <c r="N805" s="18">
        <v>39</v>
      </c>
      <c r="O805" s="18" t="str">
        <f t="shared" ca="1" si="53"/>
        <v>Understocked</v>
      </c>
      <c r="P805" s="11" t="str">
        <f ca="1">RANDBETWEEN(30,76)&amp;"%"</f>
        <v>31%</v>
      </c>
      <c r="Q805" s="18">
        <f>PRODUCT(K805,N805)</f>
        <v>5869.5</v>
      </c>
    </row>
    <row r="806" spans="1:17" x14ac:dyDescent="0.45">
      <c r="A806" s="6" t="s">
        <v>1076</v>
      </c>
      <c r="B806" s="9" t="s">
        <v>1066</v>
      </c>
      <c r="C806" s="6" t="s">
        <v>14</v>
      </c>
      <c r="D806" s="18">
        <f ca="1">RANDBETWEEN(500,1000)</f>
        <v>820</v>
      </c>
      <c r="E806" s="19">
        <v>45416</v>
      </c>
      <c r="F806" s="18">
        <v>27</v>
      </c>
      <c r="G806" s="20">
        <v>0.3</v>
      </c>
      <c r="H806" s="18">
        <f t="shared" ca="1" si="51"/>
        <v>57</v>
      </c>
      <c r="I806" s="18">
        <f t="shared" ca="1" si="52"/>
        <v>159</v>
      </c>
      <c r="J806" s="15">
        <f ca="1">K806-L806</f>
        <v>177</v>
      </c>
      <c r="K806" s="15">
        <v>215</v>
      </c>
      <c r="L806" s="15">
        <f ca="1">RANDBETWEEN(30,87)</f>
        <v>38</v>
      </c>
      <c r="M806" s="11">
        <f ca="1">(L806/J806)</f>
        <v>0.21468926553672316</v>
      </c>
      <c r="N806" s="18">
        <v>57</v>
      </c>
      <c r="O806" s="18" t="str">
        <f t="shared" ca="1" si="53"/>
        <v>Understocked</v>
      </c>
      <c r="P806" s="11" t="str">
        <f ca="1">RANDBETWEEN(30,76)&amp;"%"</f>
        <v>57%</v>
      </c>
      <c r="Q806" s="18">
        <f>PRODUCT(K806,N806)</f>
        <v>12255</v>
      </c>
    </row>
    <row r="807" spans="1:17" x14ac:dyDescent="0.45">
      <c r="A807" s="6" t="s">
        <v>1093</v>
      </c>
      <c r="B807" s="9" t="s">
        <v>1094</v>
      </c>
      <c r="C807" s="6" t="s">
        <v>14</v>
      </c>
      <c r="D807" s="18">
        <f ca="1">RANDBETWEEN(500,1000)</f>
        <v>835</v>
      </c>
      <c r="E807" s="19">
        <v>45499</v>
      </c>
      <c r="F807" s="18">
        <v>38</v>
      </c>
      <c r="G807" s="20">
        <v>0.86</v>
      </c>
      <c r="H807" s="18">
        <f t="shared" ca="1" si="51"/>
        <v>61</v>
      </c>
      <c r="I807" s="18">
        <f t="shared" ca="1" si="52"/>
        <v>73</v>
      </c>
      <c r="J807" s="15">
        <f ca="1">K807-L807</f>
        <v>375</v>
      </c>
      <c r="K807" s="15">
        <v>430</v>
      </c>
      <c r="L807" s="15">
        <f ca="1">RANDBETWEEN(30,87)</f>
        <v>55</v>
      </c>
      <c r="M807" s="11">
        <f ca="1">(L807/J807)</f>
        <v>0.14666666666666667</v>
      </c>
      <c r="N807" s="18">
        <v>34</v>
      </c>
      <c r="O807" s="18" t="str">
        <f t="shared" ca="1" si="53"/>
        <v>Understocked</v>
      </c>
      <c r="P807" s="11" t="str">
        <f ca="1">RANDBETWEEN(30,76)&amp;"%"</f>
        <v>49%</v>
      </c>
      <c r="Q807" s="18">
        <f>PRODUCT(K807,N807)</f>
        <v>14620</v>
      </c>
    </row>
    <row r="808" spans="1:17" x14ac:dyDescent="0.45">
      <c r="A808" s="6" t="s">
        <v>1095</v>
      </c>
      <c r="B808" s="9" t="s">
        <v>1094</v>
      </c>
      <c r="C808" s="6" t="s">
        <v>14</v>
      </c>
      <c r="D808" s="18">
        <f ca="1">RANDBETWEEN(500,1000)</f>
        <v>615</v>
      </c>
      <c r="E808" s="19">
        <v>45432</v>
      </c>
      <c r="F808" s="18">
        <v>67</v>
      </c>
      <c r="G808" s="20">
        <v>0.79</v>
      </c>
      <c r="H808" s="18">
        <f t="shared" ca="1" si="51"/>
        <v>52</v>
      </c>
      <c r="I808" s="18">
        <f t="shared" ca="1" si="52"/>
        <v>171</v>
      </c>
      <c r="J808" s="15">
        <f ca="1">K808-L808</f>
        <v>216</v>
      </c>
      <c r="K808" s="15">
        <v>258</v>
      </c>
      <c r="L808" s="15">
        <f ca="1">RANDBETWEEN(30,87)</f>
        <v>42</v>
      </c>
      <c r="M808" s="11">
        <f ca="1">(L808/J808)</f>
        <v>0.19444444444444445</v>
      </c>
      <c r="N808" s="18">
        <v>30</v>
      </c>
      <c r="O808" s="18" t="str">
        <f t="shared" ca="1" si="53"/>
        <v>Optimal</v>
      </c>
      <c r="P808" s="11" t="str">
        <f ca="1">RANDBETWEEN(30,76)&amp;"%"</f>
        <v>65%</v>
      </c>
      <c r="Q808" s="18">
        <f>PRODUCT(K808,N808)</f>
        <v>7740</v>
      </c>
    </row>
    <row r="809" spans="1:17" x14ac:dyDescent="0.45">
      <c r="A809" s="6" t="s">
        <v>1096</v>
      </c>
      <c r="B809" s="9" t="s">
        <v>1094</v>
      </c>
      <c r="C809" s="6" t="s">
        <v>14</v>
      </c>
      <c r="D809" s="18">
        <f ca="1">RANDBETWEEN(500,1000)</f>
        <v>576</v>
      </c>
      <c r="E809" s="19">
        <v>45440</v>
      </c>
      <c r="F809" s="18">
        <v>86</v>
      </c>
      <c r="G809" s="20">
        <v>0.84</v>
      </c>
      <c r="H809" s="18">
        <f t="shared" ca="1" si="51"/>
        <v>74</v>
      </c>
      <c r="I809" s="18">
        <f t="shared" ca="1" si="52"/>
        <v>112</v>
      </c>
      <c r="J809" s="15">
        <f ca="1">K809-L809</f>
        <v>186.9</v>
      </c>
      <c r="K809" s="15">
        <v>227.9</v>
      </c>
      <c r="L809" s="15">
        <f ca="1">RANDBETWEEN(30,87)</f>
        <v>41</v>
      </c>
      <c r="M809" s="11">
        <f ca="1">(L809/J809)</f>
        <v>0.21936864633493847</v>
      </c>
      <c r="N809" s="18">
        <v>52</v>
      </c>
      <c r="O809" s="18" t="str">
        <f t="shared" ca="1" si="53"/>
        <v>Optimal</v>
      </c>
      <c r="P809" s="11" t="str">
        <f ca="1">RANDBETWEEN(30,76)&amp;"%"</f>
        <v>57%</v>
      </c>
      <c r="Q809" s="18">
        <f>PRODUCT(K809,N809)</f>
        <v>11850.800000000001</v>
      </c>
    </row>
    <row r="810" spans="1:17" x14ac:dyDescent="0.45">
      <c r="A810" s="6" t="s">
        <v>1097</v>
      </c>
      <c r="B810" s="9" t="s">
        <v>1094</v>
      </c>
      <c r="C810" s="6" t="s">
        <v>14</v>
      </c>
      <c r="D810" s="18">
        <f ca="1">RANDBETWEEN(500,1000)</f>
        <v>828</v>
      </c>
      <c r="E810" s="19">
        <v>45658</v>
      </c>
      <c r="F810" s="18">
        <v>59</v>
      </c>
      <c r="G810" s="20">
        <v>0.67</v>
      </c>
      <c r="H810" s="18">
        <f t="shared" ca="1" si="51"/>
        <v>57</v>
      </c>
      <c r="I810" s="18">
        <f t="shared" ca="1" si="52"/>
        <v>187</v>
      </c>
      <c r="J810" s="15">
        <f ca="1">K810-L810</f>
        <v>793</v>
      </c>
      <c r="K810" s="15">
        <v>860</v>
      </c>
      <c r="L810" s="15">
        <f ca="1">RANDBETWEEN(30,87)</f>
        <v>67</v>
      </c>
      <c r="M810" s="11">
        <f ca="1">(L810/J810)</f>
        <v>8.4489281210592682E-2</v>
      </c>
      <c r="N810" s="18">
        <v>32</v>
      </c>
      <c r="O810" s="18" t="str">
        <f t="shared" ca="1" si="53"/>
        <v>Optimal</v>
      </c>
      <c r="P810" s="11" t="str">
        <f ca="1">RANDBETWEEN(30,76)&amp;"%"</f>
        <v>71%</v>
      </c>
      <c r="Q810" s="18">
        <f>PRODUCT(K810,N810)</f>
        <v>27520</v>
      </c>
    </row>
    <row r="811" spans="1:17" x14ac:dyDescent="0.45">
      <c r="A811" s="6" t="s">
        <v>1099</v>
      </c>
      <c r="B811" s="9" t="s">
        <v>1094</v>
      </c>
      <c r="C811" s="6" t="s">
        <v>14</v>
      </c>
      <c r="D811" s="18">
        <f ca="1">RANDBETWEEN(500,1000)</f>
        <v>932</v>
      </c>
      <c r="E811" s="19">
        <v>45480</v>
      </c>
      <c r="F811" s="18">
        <v>82</v>
      </c>
      <c r="G811" s="20">
        <v>0.56999999999999995</v>
      </c>
      <c r="H811" s="18">
        <f t="shared" ca="1" si="51"/>
        <v>76</v>
      </c>
      <c r="I811" s="18">
        <f t="shared" ca="1" si="52"/>
        <v>131</v>
      </c>
      <c r="J811" s="15">
        <f ca="1">K811-L811</f>
        <v>1203</v>
      </c>
      <c r="K811" s="15">
        <v>1290</v>
      </c>
      <c r="L811" s="15">
        <f ca="1">RANDBETWEEN(30,87)</f>
        <v>87</v>
      </c>
      <c r="M811" s="11">
        <f ca="1">(L811/J811)</f>
        <v>7.2319201995012475E-2</v>
      </c>
      <c r="N811" s="18">
        <v>26</v>
      </c>
      <c r="O811" s="18" t="str">
        <f t="shared" ca="1" si="53"/>
        <v>Optimal</v>
      </c>
      <c r="P811" s="11" t="str">
        <f ca="1">RANDBETWEEN(30,76)&amp;"%"</f>
        <v>65%</v>
      </c>
      <c r="Q811" s="18">
        <f>PRODUCT(K811,N811)</f>
        <v>33540</v>
      </c>
    </row>
    <row r="812" spans="1:17" x14ac:dyDescent="0.45">
      <c r="A812" s="6" t="s">
        <v>1100</v>
      </c>
      <c r="B812" s="9" t="s">
        <v>1094</v>
      </c>
      <c r="C812" s="6" t="s">
        <v>14</v>
      </c>
      <c r="D812" s="18">
        <f ca="1">RANDBETWEEN(500,1000)</f>
        <v>578</v>
      </c>
      <c r="E812" s="19">
        <v>45475</v>
      </c>
      <c r="F812" s="18">
        <v>39</v>
      </c>
      <c r="G812" s="20">
        <v>0.55000000000000004</v>
      </c>
      <c r="H812" s="18">
        <f t="shared" ca="1" si="51"/>
        <v>75</v>
      </c>
      <c r="I812" s="18">
        <f t="shared" ca="1" si="52"/>
        <v>119</v>
      </c>
      <c r="J812" s="15">
        <f ca="1">K812-L812</f>
        <v>19</v>
      </c>
      <c r="K812" s="15">
        <v>86</v>
      </c>
      <c r="L812" s="15">
        <f ca="1">RANDBETWEEN(30,87)</f>
        <v>67</v>
      </c>
      <c r="M812" s="11">
        <f ca="1">(L812/J812)</f>
        <v>3.5263157894736841</v>
      </c>
      <c r="N812" s="18">
        <v>92</v>
      </c>
      <c r="O812" s="18" t="str">
        <f t="shared" ca="1" si="53"/>
        <v>Understocked</v>
      </c>
      <c r="P812" s="11" t="str">
        <f ca="1">RANDBETWEEN(30,76)&amp;"%"</f>
        <v>70%</v>
      </c>
      <c r="Q812" s="18">
        <f>PRODUCT(K812,N812)</f>
        <v>7912</v>
      </c>
    </row>
    <row r="813" spans="1:17" x14ac:dyDescent="0.45">
      <c r="A813" s="6" t="s">
        <v>1101</v>
      </c>
      <c r="B813" s="9" t="s">
        <v>1094</v>
      </c>
      <c r="C813" s="6" t="s">
        <v>14</v>
      </c>
      <c r="D813" s="18">
        <f ca="1">RANDBETWEEN(500,1000)</f>
        <v>642</v>
      </c>
      <c r="E813" s="19">
        <v>45402</v>
      </c>
      <c r="F813" s="18">
        <v>41</v>
      </c>
      <c r="G813" s="20">
        <v>0.6</v>
      </c>
      <c r="H813" s="18">
        <f t="shared" ca="1" si="51"/>
        <v>53</v>
      </c>
      <c r="I813" s="18">
        <f t="shared" ca="1" si="52"/>
        <v>180</v>
      </c>
      <c r="J813" s="15">
        <f ca="1">K813-L813</f>
        <v>760</v>
      </c>
      <c r="K813" s="15">
        <v>846</v>
      </c>
      <c r="L813" s="15">
        <f ca="1">RANDBETWEEN(30,87)</f>
        <v>86</v>
      </c>
      <c r="M813" s="11">
        <f ca="1">(L813/J813)</f>
        <v>0.11315789473684211</v>
      </c>
      <c r="N813" s="18">
        <v>50</v>
      </c>
      <c r="O813" s="18" t="str">
        <f t="shared" ca="1" si="53"/>
        <v>Understocked</v>
      </c>
      <c r="P813" s="11" t="str">
        <f ca="1">RANDBETWEEN(30,76)&amp;"%"</f>
        <v>50%</v>
      </c>
      <c r="Q813" s="18">
        <f>PRODUCT(K813,N813)</f>
        <v>42300</v>
      </c>
    </row>
    <row r="814" spans="1:17" x14ac:dyDescent="0.45">
      <c r="A814" s="6" t="s">
        <v>1102</v>
      </c>
      <c r="B814" s="9" t="s">
        <v>1103</v>
      </c>
      <c r="C814" s="6" t="s">
        <v>14</v>
      </c>
      <c r="D814" s="18">
        <f ca="1">RANDBETWEEN(500,1000)</f>
        <v>738</v>
      </c>
      <c r="E814" s="19">
        <v>45520</v>
      </c>
      <c r="F814" s="18">
        <v>26</v>
      </c>
      <c r="G814" s="20">
        <v>0.61</v>
      </c>
      <c r="H814" s="18">
        <f t="shared" ca="1" si="51"/>
        <v>77</v>
      </c>
      <c r="I814" s="18">
        <f t="shared" ca="1" si="52"/>
        <v>189</v>
      </c>
      <c r="J814" s="15">
        <f ca="1">K814-L814</f>
        <v>221</v>
      </c>
      <c r="K814" s="15">
        <v>258</v>
      </c>
      <c r="L814" s="15">
        <f ca="1">RANDBETWEEN(30,87)</f>
        <v>37</v>
      </c>
      <c r="M814" s="11">
        <f ca="1">(L814/J814)</f>
        <v>0.167420814479638</v>
      </c>
      <c r="N814" s="18">
        <v>40</v>
      </c>
      <c r="O814" s="18" t="str">
        <f t="shared" ca="1" si="53"/>
        <v>Understocked</v>
      </c>
      <c r="P814" s="11" t="str">
        <f ca="1">RANDBETWEEN(30,76)&amp;"%"</f>
        <v>33%</v>
      </c>
      <c r="Q814" s="18">
        <f>PRODUCT(K814,N814)</f>
        <v>10320</v>
      </c>
    </row>
    <row r="815" spans="1:17" x14ac:dyDescent="0.45">
      <c r="A815" s="6" t="s">
        <v>1104</v>
      </c>
      <c r="B815" s="9" t="s">
        <v>1103</v>
      </c>
      <c r="C815" s="6" t="s">
        <v>14</v>
      </c>
      <c r="D815" s="18">
        <f ca="1">RANDBETWEEN(500,1000)</f>
        <v>996</v>
      </c>
      <c r="E815" s="19">
        <v>45482</v>
      </c>
      <c r="F815" s="18">
        <v>72</v>
      </c>
      <c r="G815" s="20">
        <v>0.4</v>
      </c>
      <c r="H815" s="18">
        <f t="shared" ca="1" si="51"/>
        <v>62</v>
      </c>
      <c r="I815" s="18">
        <f t="shared" ca="1" si="52"/>
        <v>139</v>
      </c>
      <c r="J815" s="15">
        <f ca="1">K815-L815</f>
        <v>166.4</v>
      </c>
      <c r="K815" s="15">
        <v>206.4</v>
      </c>
      <c r="L815" s="15">
        <f ca="1">RANDBETWEEN(30,87)</f>
        <v>40</v>
      </c>
      <c r="M815" s="11">
        <f ca="1">(L815/J815)</f>
        <v>0.24038461538461536</v>
      </c>
      <c r="N815" s="18">
        <v>51</v>
      </c>
      <c r="O815" s="18" t="str">
        <f t="shared" ca="1" si="53"/>
        <v>Optimal</v>
      </c>
      <c r="P815" s="11" t="str">
        <f ca="1">RANDBETWEEN(30,76)&amp;"%"</f>
        <v>47%</v>
      </c>
      <c r="Q815" s="18">
        <f>PRODUCT(K815,N815)</f>
        <v>10526.4</v>
      </c>
    </row>
    <row r="816" spans="1:17" x14ac:dyDescent="0.45">
      <c r="A816" s="6" t="s">
        <v>1105</v>
      </c>
      <c r="B816" s="9" t="s">
        <v>1103</v>
      </c>
      <c r="C816" s="6" t="s">
        <v>14</v>
      </c>
      <c r="D816" s="18">
        <f ca="1">RANDBETWEEN(500,1000)</f>
        <v>729</v>
      </c>
      <c r="E816" s="19">
        <v>45621</v>
      </c>
      <c r="F816" s="18">
        <v>41</v>
      </c>
      <c r="G816" s="20">
        <v>0.4</v>
      </c>
      <c r="H816" s="18">
        <f t="shared" ca="1" si="51"/>
        <v>73</v>
      </c>
      <c r="I816" s="18">
        <f t="shared" ca="1" si="52"/>
        <v>127</v>
      </c>
      <c r="J816" s="15">
        <f ca="1">K816-L816</f>
        <v>114</v>
      </c>
      <c r="K816" s="15">
        <v>172</v>
      </c>
      <c r="L816" s="15">
        <f ca="1">RANDBETWEEN(30,87)</f>
        <v>58</v>
      </c>
      <c r="M816" s="11">
        <f ca="1">(L816/J816)</f>
        <v>0.50877192982456143</v>
      </c>
      <c r="N816" s="18">
        <v>93</v>
      </c>
      <c r="O816" s="18" t="str">
        <f t="shared" ca="1" si="53"/>
        <v>Understocked</v>
      </c>
      <c r="P816" s="11" t="str">
        <f ca="1">RANDBETWEEN(30,76)&amp;"%"</f>
        <v>30%</v>
      </c>
      <c r="Q816" s="18">
        <f>PRODUCT(K816,N816)</f>
        <v>15996</v>
      </c>
    </row>
    <row r="817" spans="1:17" x14ac:dyDescent="0.45">
      <c r="A817" s="6" t="s">
        <v>1106</v>
      </c>
      <c r="B817" s="9" t="s">
        <v>1103</v>
      </c>
      <c r="C817" s="6" t="s">
        <v>14</v>
      </c>
      <c r="D817" s="18">
        <f ca="1">RANDBETWEEN(500,1000)</f>
        <v>550</v>
      </c>
      <c r="E817" s="19">
        <v>45704</v>
      </c>
      <c r="F817" s="18">
        <v>19</v>
      </c>
      <c r="G817" s="20">
        <v>0.67</v>
      </c>
      <c r="H817" s="18">
        <f t="shared" ca="1" si="51"/>
        <v>80</v>
      </c>
      <c r="I817" s="18">
        <f t="shared" ca="1" si="52"/>
        <v>124</v>
      </c>
      <c r="J817" s="15">
        <f ca="1">K817-L817</f>
        <v>473.5</v>
      </c>
      <c r="K817" s="15">
        <v>537.5</v>
      </c>
      <c r="L817" s="15">
        <f ca="1">RANDBETWEEN(30,87)</f>
        <v>64</v>
      </c>
      <c r="M817" s="11">
        <f ca="1">(L817/J817)</f>
        <v>0.13516367476240759</v>
      </c>
      <c r="N817" s="18">
        <v>62</v>
      </c>
      <c r="O817" s="18" t="str">
        <f t="shared" ca="1" si="53"/>
        <v>Understocked</v>
      </c>
      <c r="P817" s="11" t="str">
        <f ca="1">RANDBETWEEN(30,76)&amp;"%"</f>
        <v>51%</v>
      </c>
      <c r="Q817" s="18">
        <f>PRODUCT(K817,N817)</f>
        <v>33325</v>
      </c>
    </row>
    <row r="818" spans="1:17" x14ac:dyDescent="0.45">
      <c r="A818" s="6" t="s">
        <v>1107</v>
      </c>
      <c r="B818" s="9" t="s">
        <v>1103</v>
      </c>
      <c r="C818" s="6" t="s">
        <v>14</v>
      </c>
      <c r="D818" s="18">
        <f ca="1">RANDBETWEEN(500,1000)</f>
        <v>774</v>
      </c>
      <c r="E818" s="19">
        <v>45532</v>
      </c>
      <c r="F818" s="18">
        <v>32</v>
      </c>
      <c r="G818" s="20">
        <v>0.62</v>
      </c>
      <c r="H818" s="18">
        <f t="shared" ca="1" si="51"/>
        <v>78</v>
      </c>
      <c r="I818" s="18">
        <f t="shared" ca="1" si="52"/>
        <v>70</v>
      </c>
      <c r="J818" s="15">
        <f ca="1">K818-L818</f>
        <v>558</v>
      </c>
      <c r="K818" s="15">
        <v>602</v>
      </c>
      <c r="L818" s="15">
        <f ca="1">RANDBETWEEN(30,87)</f>
        <v>44</v>
      </c>
      <c r="M818" s="11">
        <f ca="1">(L818/J818)</f>
        <v>7.8853046594982074E-2</v>
      </c>
      <c r="N818" s="18">
        <v>69</v>
      </c>
      <c r="O818" s="18" t="str">
        <f t="shared" ca="1" si="53"/>
        <v>Understocked</v>
      </c>
      <c r="P818" s="11" t="str">
        <f ca="1">RANDBETWEEN(30,76)&amp;"%"</f>
        <v>59%</v>
      </c>
      <c r="Q818" s="18">
        <f>PRODUCT(K818,N818)</f>
        <v>41538</v>
      </c>
    </row>
    <row r="819" spans="1:17" x14ac:dyDescent="0.45">
      <c r="A819" s="6" t="s">
        <v>1108</v>
      </c>
      <c r="B819" s="9" t="s">
        <v>1103</v>
      </c>
      <c r="C819" s="6" t="s">
        <v>14</v>
      </c>
      <c r="D819" s="18">
        <f ca="1">RANDBETWEEN(500,1000)</f>
        <v>531</v>
      </c>
      <c r="E819" s="19">
        <v>45396</v>
      </c>
      <c r="F819" s="18">
        <v>98</v>
      </c>
      <c r="G819" s="20">
        <v>0.48</v>
      </c>
      <c r="H819" s="18">
        <f t="shared" ca="1" si="51"/>
        <v>54</v>
      </c>
      <c r="I819" s="18">
        <f t="shared" ca="1" si="52"/>
        <v>190</v>
      </c>
      <c r="J819" s="15">
        <f ca="1">K819-L819</f>
        <v>351</v>
      </c>
      <c r="K819" s="15">
        <v>387</v>
      </c>
      <c r="L819" s="15">
        <f ca="1">RANDBETWEEN(30,87)</f>
        <v>36</v>
      </c>
      <c r="M819" s="11">
        <f ca="1">(L819/J819)</f>
        <v>0.10256410256410256</v>
      </c>
      <c r="N819" s="18">
        <v>31</v>
      </c>
      <c r="O819" s="18" t="str">
        <f t="shared" ca="1" si="53"/>
        <v>Optimal</v>
      </c>
      <c r="P819" s="11" t="str">
        <f ca="1">RANDBETWEEN(30,76)&amp;"%"</f>
        <v>36%</v>
      </c>
      <c r="Q819" s="18">
        <f>PRODUCT(K819,N819)</f>
        <v>11997</v>
      </c>
    </row>
    <row r="820" spans="1:17" x14ac:dyDescent="0.45">
      <c r="A820" s="6" t="s">
        <v>1109</v>
      </c>
      <c r="B820" s="9" t="s">
        <v>1103</v>
      </c>
      <c r="C820" s="6" t="s">
        <v>14</v>
      </c>
      <c r="D820" s="18">
        <f ca="1">RANDBETWEEN(500,1000)</f>
        <v>848</v>
      </c>
      <c r="E820" s="19">
        <v>45466</v>
      </c>
      <c r="F820" s="18">
        <v>46</v>
      </c>
      <c r="G820" s="20">
        <v>0.37</v>
      </c>
      <c r="H820" s="18">
        <f t="shared" ca="1" si="51"/>
        <v>52</v>
      </c>
      <c r="I820" s="18">
        <f t="shared" ca="1" si="52"/>
        <v>127</v>
      </c>
      <c r="J820" s="15">
        <f ca="1">K820-L820</f>
        <v>147</v>
      </c>
      <c r="K820" s="15">
        <v>215</v>
      </c>
      <c r="L820" s="15">
        <f ca="1">RANDBETWEEN(30,87)</f>
        <v>68</v>
      </c>
      <c r="M820" s="11">
        <f ca="1">(L820/J820)</f>
        <v>0.46258503401360546</v>
      </c>
      <c r="N820" s="18">
        <v>63</v>
      </c>
      <c r="O820" s="18" t="str">
        <f t="shared" ca="1" si="53"/>
        <v>Understocked</v>
      </c>
      <c r="P820" s="11" t="str">
        <f ca="1">RANDBETWEEN(30,76)&amp;"%"</f>
        <v>72%</v>
      </c>
      <c r="Q820" s="18">
        <f>PRODUCT(K820,N820)</f>
        <v>13545</v>
      </c>
    </row>
    <row r="821" spans="1:17" x14ac:dyDescent="0.45">
      <c r="A821" s="6" t="s">
        <v>1110</v>
      </c>
      <c r="B821" s="9" t="s">
        <v>1103</v>
      </c>
      <c r="C821" s="6" t="s">
        <v>14</v>
      </c>
      <c r="D821" s="18">
        <f ca="1">RANDBETWEEN(500,1000)</f>
        <v>867</v>
      </c>
      <c r="E821" s="19">
        <v>45613</v>
      </c>
      <c r="F821" s="18">
        <v>58</v>
      </c>
      <c r="G821" s="20">
        <v>0.61</v>
      </c>
      <c r="H821" s="18">
        <f t="shared" ca="1" si="51"/>
        <v>67</v>
      </c>
      <c r="I821" s="18">
        <f t="shared" ca="1" si="52"/>
        <v>153</v>
      </c>
      <c r="J821" s="15">
        <f ca="1">K821-L821</f>
        <v>143</v>
      </c>
      <c r="K821" s="15">
        <v>215</v>
      </c>
      <c r="L821" s="15">
        <f ca="1">RANDBETWEEN(30,87)</f>
        <v>72</v>
      </c>
      <c r="M821" s="11">
        <f ca="1">(L821/J821)</f>
        <v>0.50349650349650354</v>
      </c>
      <c r="N821" s="18">
        <v>75</v>
      </c>
      <c r="O821" s="18" t="str">
        <f t="shared" ca="1" si="53"/>
        <v>Understocked</v>
      </c>
      <c r="P821" s="11" t="str">
        <f ca="1">RANDBETWEEN(30,76)&amp;"%"</f>
        <v>39%</v>
      </c>
      <c r="Q821" s="18">
        <f>PRODUCT(K821,N821)</f>
        <v>16125</v>
      </c>
    </row>
    <row r="822" spans="1:17" x14ac:dyDescent="0.45">
      <c r="A822" t="s">
        <v>959</v>
      </c>
      <c r="B822" t="s">
        <v>956</v>
      </c>
      <c r="C822" t="s">
        <v>14</v>
      </c>
      <c r="D822" s="18">
        <f ca="1">RANDBETWEEN(500,1000)</f>
        <v>857</v>
      </c>
      <c r="E822" s="1">
        <v>45591</v>
      </c>
      <c r="F822">
        <v>22</v>
      </c>
      <c r="G822" s="2">
        <v>0.39</v>
      </c>
      <c r="H822" s="18">
        <f t="shared" ca="1" si="51"/>
        <v>59</v>
      </c>
      <c r="I822" s="18">
        <f t="shared" ca="1" si="52"/>
        <v>100</v>
      </c>
      <c r="J822" s="4">
        <f ca="1">K822-L822</f>
        <v>2131.5</v>
      </c>
      <c r="K822" s="4">
        <v>2171.5</v>
      </c>
      <c r="L822" s="4">
        <f ca="1">RANDBETWEEN(30,87)</f>
        <v>40</v>
      </c>
      <c r="M822" s="3">
        <f ca="1">(L822/J822)</f>
        <v>1.8766127140511377E-2</v>
      </c>
      <c r="N822">
        <v>64</v>
      </c>
      <c r="O822" s="18" t="str">
        <f t="shared" ca="1" si="53"/>
        <v>Understocked</v>
      </c>
      <c r="P822">
        <v>11</v>
      </c>
    </row>
    <row r="823" spans="1:17" x14ac:dyDescent="0.45">
      <c r="A823" t="s">
        <v>1098</v>
      </c>
      <c r="B823" t="s">
        <v>1094</v>
      </c>
      <c r="C823" t="s">
        <v>14</v>
      </c>
      <c r="D823" s="18">
        <f ca="1">RANDBETWEEN(500,1000)</f>
        <v>895</v>
      </c>
      <c r="E823" s="1">
        <v>45360</v>
      </c>
      <c r="F823">
        <v>60</v>
      </c>
      <c r="G823" s="2">
        <v>0.55000000000000004</v>
      </c>
      <c r="H823" s="18">
        <f t="shared" ca="1" si="51"/>
        <v>64</v>
      </c>
      <c r="I823" s="18">
        <f t="shared" ca="1" si="52"/>
        <v>199</v>
      </c>
      <c r="J823" s="4">
        <f ca="1">K823-L823</f>
        <v>1217</v>
      </c>
      <c r="K823" s="4">
        <v>1290</v>
      </c>
      <c r="L823" s="4">
        <f ca="1">RANDBETWEEN(30,87)</f>
        <v>73</v>
      </c>
      <c r="M823" s="3">
        <f ca="1">(L823/J823)</f>
        <v>5.9983566146261297E-2</v>
      </c>
      <c r="N823">
        <v>51</v>
      </c>
      <c r="O823" s="18" t="str">
        <f t="shared" ca="1" si="53"/>
        <v>Understocked</v>
      </c>
      <c r="P823"/>
    </row>
    <row r="824" spans="1:17" x14ac:dyDescent="0.45">
      <c r="A824" t="s">
        <v>246</v>
      </c>
      <c r="B824" t="s">
        <v>243</v>
      </c>
      <c r="C824" t="s">
        <v>96</v>
      </c>
      <c r="D824" s="18">
        <f ca="1">RANDBETWEEN(500,1000)</f>
        <v>663</v>
      </c>
      <c r="E824" s="1">
        <v>45588</v>
      </c>
      <c r="F824">
        <v>19</v>
      </c>
      <c r="G824" s="2">
        <v>0.46</v>
      </c>
      <c r="H824" s="18">
        <f t="shared" ca="1" si="51"/>
        <v>59</v>
      </c>
      <c r="I824" s="18">
        <f t="shared" ca="1" si="52"/>
        <v>175</v>
      </c>
      <c r="J824" s="4">
        <f ca="1">K824-L824</f>
        <v>1284.6600000000001</v>
      </c>
      <c r="K824" s="4">
        <v>1316.66</v>
      </c>
      <c r="L824" s="4">
        <f ca="1">RANDBETWEEN(30,87)</f>
        <v>32</v>
      </c>
      <c r="M824" s="3">
        <f ca="1">(L824/J824)</f>
        <v>2.4909314526800865E-2</v>
      </c>
      <c r="N824">
        <v>33</v>
      </c>
      <c r="O824" s="18" t="str">
        <f t="shared" ca="1" si="53"/>
        <v>Understocked</v>
      </c>
      <c r="P824">
        <v>97</v>
      </c>
    </row>
    <row r="825" spans="1:17" x14ac:dyDescent="0.45">
      <c r="A825" t="s">
        <v>724</v>
      </c>
      <c r="B825" t="s">
        <v>717</v>
      </c>
      <c r="C825" t="s">
        <v>96</v>
      </c>
      <c r="D825" s="18">
        <f ca="1">RANDBETWEEN(500,1000)</f>
        <v>666</v>
      </c>
      <c r="E825" s="1">
        <v>45501</v>
      </c>
      <c r="F825">
        <v>35</v>
      </c>
      <c r="G825" s="2">
        <v>0.59</v>
      </c>
      <c r="H825" s="18">
        <f t="shared" ca="1" si="51"/>
        <v>80</v>
      </c>
      <c r="I825" s="18">
        <f t="shared" ca="1" si="52"/>
        <v>156</v>
      </c>
      <c r="J825" s="4">
        <f ca="1">K825-L825</f>
        <v>1725</v>
      </c>
      <c r="K825" s="4">
        <v>1806</v>
      </c>
      <c r="L825" s="4">
        <f ca="1">RANDBETWEEN(30,87)</f>
        <v>81</v>
      </c>
      <c r="M825" s="3">
        <f ca="1">(L825/J825)</f>
        <v>4.6956521739130432E-2</v>
      </c>
      <c r="N825">
        <v>62</v>
      </c>
      <c r="O825" s="18" t="str">
        <f t="shared" ca="1" si="53"/>
        <v>Understocked</v>
      </c>
      <c r="P825"/>
    </row>
    <row r="826" spans="1:17" x14ac:dyDescent="0.45">
      <c r="A826" t="s">
        <v>756</v>
      </c>
      <c r="B826" t="s">
        <v>755</v>
      </c>
      <c r="C826" t="s">
        <v>96</v>
      </c>
      <c r="D826" s="18">
        <f ca="1">RANDBETWEEN(500,1000)</f>
        <v>654</v>
      </c>
      <c r="E826" s="1">
        <v>45600</v>
      </c>
      <c r="F826">
        <v>21</v>
      </c>
      <c r="G826" s="2">
        <v>0.72</v>
      </c>
      <c r="H826" s="18">
        <f t="shared" ca="1" si="51"/>
        <v>63</v>
      </c>
      <c r="I826" s="18">
        <f t="shared" ca="1" si="52"/>
        <v>88</v>
      </c>
      <c r="J826" s="4">
        <f ca="1">K826-L826</f>
        <v>1288</v>
      </c>
      <c r="K826" s="4">
        <v>1333</v>
      </c>
      <c r="L826" s="4">
        <f ca="1">RANDBETWEEN(30,87)</f>
        <v>45</v>
      </c>
      <c r="M826" s="3">
        <f ca="1">(L826/J826)</f>
        <v>3.4937888198757761E-2</v>
      </c>
      <c r="N826">
        <v>49</v>
      </c>
      <c r="O826" s="18" t="str">
        <f t="shared" ca="1" si="53"/>
        <v>Understocked</v>
      </c>
      <c r="P826">
        <v>38</v>
      </c>
    </row>
    <row r="827" spans="1:17" x14ac:dyDescent="0.45">
      <c r="A827" s="6" t="s">
        <v>94</v>
      </c>
      <c r="B827" s="9" t="s">
        <v>95</v>
      </c>
      <c r="C827" s="6" t="s">
        <v>96</v>
      </c>
      <c r="D827" s="18">
        <f ca="1">RANDBETWEEN(500,1000)</f>
        <v>540</v>
      </c>
      <c r="E827" s="19">
        <v>45388</v>
      </c>
      <c r="F827" s="18">
        <v>53</v>
      </c>
      <c r="G827" s="20">
        <v>0.61</v>
      </c>
      <c r="H827" s="18">
        <f t="shared" ca="1" si="51"/>
        <v>54</v>
      </c>
      <c r="I827" s="18">
        <f t="shared" ca="1" si="52"/>
        <v>131</v>
      </c>
      <c r="J827" s="15">
        <f ca="1">K827-L827</f>
        <v>469.9</v>
      </c>
      <c r="K827" s="15">
        <v>528.9</v>
      </c>
      <c r="L827" s="15">
        <f ca="1">RANDBETWEEN(30,87)</f>
        <v>59</v>
      </c>
      <c r="M827" s="11">
        <f ca="1">(L827/J827)</f>
        <v>0.12555862949563737</v>
      </c>
      <c r="N827" s="18">
        <v>22</v>
      </c>
      <c r="O827" s="18" t="str">
        <f t="shared" ca="1" si="53"/>
        <v>Understocked</v>
      </c>
      <c r="P827" s="11" t="str">
        <f ca="1">RANDBETWEEN(30,76)&amp;"%"</f>
        <v>42%</v>
      </c>
      <c r="Q827" s="18">
        <f>PRODUCT(K827,N827)</f>
        <v>11635.8</v>
      </c>
    </row>
    <row r="828" spans="1:17" x14ac:dyDescent="0.45">
      <c r="A828" s="6" t="s">
        <v>97</v>
      </c>
      <c r="B828" s="9" t="s">
        <v>95</v>
      </c>
      <c r="C828" s="6" t="s">
        <v>96</v>
      </c>
      <c r="D828" s="18">
        <f ca="1">RANDBETWEEN(500,1000)</f>
        <v>627</v>
      </c>
      <c r="E828" s="19">
        <v>45682</v>
      </c>
      <c r="F828" s="18">
        <v>14</v>
      </c>
      <c r="G828" s="20">
        <v>0.62</v>
      </c>
      <c r="H828" s="18">
        <f t="shared" ca="1" si="51"/>
        <v>76</v>
      </c>
      <c r="I828" s="18">
        <f t="shared" ca="1" si="52"/>
        <v>127</v>
      </c>
      <c r="J828" s="15">
        <f ca="1">K828-L828</f>
        <v>169.4</v>
      </c>
      <c r="K828" s="15">
        <v>206.4</v>
      </c>
      <c r="L828" s="15">
        <f ca="1">RANDBETWEEN(30,87)</f>
        <v>37</v>
      </c>
      <c r="M828" s="11">
        <f ca="1">(L828/J828)</f>
        <v>0.21841794569067297</v>
      </c>
      <c r="N828" s="18">
        <v>65</v>
      </c>
      <c r="O828" s="18" t="str">
        <f t="shared" ca="1" si="53"/>
        <v>Understocked</v>
      </c>
      <c r="P828" s="11" t="str">
        <f ca="1">RANDBETWEEN(30,76)&amp;"%"</f>
        <v>56%</v>
      </c>
      <c r="Q828" s="18">
        <f>PRODUCT(K828,N828)</f>
        <v>13416</v>
      </c>
    </row>
    <row r="829" spans="1:17" x14ac:dyDescent="0.45">
      <c r="A829" s="6" t="s">
        <v>98</v>
      </c>
      <c r="B829" s="9" t="s">
        <v>95</v>
      </c>
      <c r="C829" s="6" t="s">
        <v>96</v>
      </c>
      <c r="D829" s="18">
        <f ca="1">RANDBETWEEN(500,1000)</f>
        <v>958</v>
      </c>
      <c r="E829" s="19">
        <v>45580</v>
      </c>
      <c r="F829" s="18">
        <v>24</v>
      </c>
      <c r="G829" s="20">
        <v>0.85</v>
      </c>
      <c r="H829" s="18">
        <f t="shared" ca="1" si="51"/>
        <v>55</v>
      </c>
      <c r="I829" s="18">
        <f t="shared" ca="1" si="52"/>
        <v>170</v>
      </c>
      <c r="J829" s="15">
        <f ca="1">K829-L829</f>
        <v>8.4000000000000057</v>
      </c>
      <c r="K829" s="15">
        <v>77.400000000000006</v>
      </c>
      <c r="L829" s="15">
        <f ca="1">RANDBETWEEN(30,87)</f>
        <v>69</v>
      </c>
      <c r="M829" s="11">
        <f ca="1">(L829/J829)</f>
        <v>8.2142857142857082</v>
      </c>
      <c r="N829" s="18">
        <v>99</v>
      </c>
      <c r="O829" s="18" t="str">
        <f t="shared" ca="1" si="53"/>
        <v>Understocked</v>
      </c>
      <c r="P829" s="11" t="str">
        <f ca="1">RANDBETWEEN(30,76)&amp;"%"</f>
        <v>53%</v>
      </c>
      <c r="Q829" s="18">
        <f>PRODUCT(K829,N829)</f>
        <v>7662.6</v>
      </c>
    </row>
    <row r="830" spans="1:17" x14ac:dyDescent="0.45">
      <c r="A830" s="6" t="s">
        <v>99</v>
      </c>
      <c r="B830" s="9" t="s">
        <v>95</v>
      </c>
      <c r="C830" s="6" t="s">
        <v>96</v>
      </c>
      <c r="D830" s="18">
        <f ca="1">RANDBETWEEN(500,1000)</f>
        <v>586</v>
      </c>
      <c r="E830" s="19">
        <v>45633</v>
      </c>
      <c r="F830" s="18">
        <v>30</v>
      </c>
      <c r="G830" s="20">
        <v>0.61</v>
      </c>
      <c r="H830" s="18">
        <f t="shared" ca="1" si="51"/>
        <v>56</v>
      </c>
      <c r="I830" s="18">
        <f t="shared" ca="1" si="52"/>
        <v>166</v>
      </c>
      <c r="J830" s="15">
        <f ca="1">K830-L830</f>
        <v>304</v>
      </c>
      <c r="K830" s="15">
        <v>387</v>
      </c>
      <c r="L830" s="15">
        <f ca="1">RANDBETWEEN(30,87)</f>
        <v>83</v>
      </c>
      <c r="M830" s="11">
        <f ca="1">(L830/J830)</f>
        <v>0.27302631578947367</v>
      </c>
      <c r="N830" s="18">
        <v>22</v>
      </c>
      <c r="O830" s="18" t="str">
        <f t="shared" ca="1" si="53"/>
        <v>Understocked</v>
      </c>
      <c r="P830" s="11" t="str">
        <f ca="1">RANDBETWEEN(30,76)&amp;"%"</f>
        <v>39%</v>
      </c>
      <c r="Q830" s="18">
        <f>PRODUCT(K830,N830)</f>
        <v>8514</v>
      </c>
    </row>
    <row r="831" spans="1:17" x14ac:dyDescent="0.45">
      <c r="A831" s="6" t="s">
        <v>100</v>
      </c>
      <c r="B831" s="9" t="s">
        <v>95</v>
      </c>
      <c r="C831" s="6" t="s">
        <v>96</v>
      </c>
      <c r="D831" s="18">
        <f ca="1">RANDBETWEEN(500,1000)</f>
        <v>843</v>
      </c>
      <c r="E831" s="19">
        <v>45462</v>
      </c>
      <c r="F831" s="18">
        <v>99</v>
      </c>
      <c r="G831" s="20">
        <v>0.44</v>
      </c>
      <c r="H831" s="18">
        <f t="shared" ca="1" si="51"/>
        <v>66</v>
      </c>
      <c r="I831" s="18">
        <f t="shared" ca="1" si="52"/>
        <v>130</v>
      </c>
      <c r="J831" s="15">
        <f ca="1">K831-L831</f>
        <v>78.7</v>
      </c>
      <c r="K831" s="15">
        <v>124.7</v>
      </c>
      <c r="L831" s="15">
        <f ca="1">RANDBETWEEN(30,87)</f>
        <v>46</v>
      </c>
      <c r="M831" s="11">
        <f ca="1">(L831/J831)</f>
        <v>0.58449809402795427</v>
      </c>
      <c r="N831" s="18">
        <v>94</v>
      </c>
      <c r="O831" s="18" t="str">
        <f t="shared" ca="1" si="53"/>
        <v>Optimal</v>
      </c>
      <c r="P831" s="11" t="str">
        <f ca="1">RANDBETWEEN(30,76)&amp;"%"</f>
        <v>72%</v>
      </c>
      <c r="Q831" s="18">
        <f>PRODUCT(K831,N831)</f>
        <v>11721.800000000001</v>
      </c>
    </row>
    <row r="832" spans="1:17" x14ac:dyDescent="0.45">
      <c r="A832" s="6" t="s">
        <v>101</v>
      </c>
      <c r="B832" s="9" t="s">
        <v>95</v>
      </c>
      <c r="C832" s="6" t="s">
        <v>96</v>
      </c>
      <c r="D832" s="18">
        <f ca="1">RANDBETWEEN(500,1000)</f>
        <v>893</v>
      </c>
      <c r="E832" s="19">
        <v>45622</v>
      </c>
      <c r="F832" s="18">
        <v>10</v>
      </c>
      <c r="G832" s="20">
        <v>0.76</v>
      </c>
      <c r="H832" s="18">
        <f t="shared" ca="1" si="51"/>
        <v>59</v>
      </c>
      <c r="I832" s="18">
        <f t="shared" ca="1" si="52"/>
        <v>192</v>
      </c>
      <c r="J832" s="15">
        <f ca="1">K832-L832</f>
        <v>76.5</v>
      </c>
      <c r="K832" s="15">
        <v>150.5</v>
      </c>
      <c r="L832" s="15">
        <f ca="1">RANDBETWEEN(30,87)</f>
        <v>74</v>
      </c>
      <c r="M832" s="11">
        <f ca="1">(L832/J832)</f>
        <v>0.9673202614379085</v>
      </c>
      <c r="N832" s="18">
        <v>24</v>
      </c>
      <c r="O832" s="18" t="str">
        <f t="shared" ca="1" si="53"/>
        <v>Understocked</v>
      </c>
      <c r="P832" s="11" t="str">
        <f ca="1">RANDBETWEEN(30,76)&amp;"%"</f>
        <v>63%</v>
      </c>
      <c r="Q832" s="18">
        <f>PRODUCT(K832,N832)</f>
        <v>3612</v>
      </c>
    </row>
    <row r="833" spans="1:17" x14ac:dyDescent="0.45">
      <c r="A833" s="6" t="s">
        <v>102</v>
      </c>
      <c r="B833" s="9" t="s">
        <v>95</v>
      </c>
      <c r="C833" s="6" t="s">
        <v>96</v>
      </c>
      <c r="D833" s="18">
        <f ca="1">RANDBETWEEN(500,1000)</f>
        <v>596</v>
      </c>
      <c r="E833" s="19">
        <v>45424</v>
      </c>
      <c r="F833" s="18">
        <v>50</v>
      </c>
      <c r="G833" s="20">
        <v>0.65</v>
      </c>
      <c r="H833" s="18">
        <f t="shared" ca="1" si="51"/>
        <v>80</v>
      </c>
      <c r="I833" s="18">
        <f t="shared" ca="1" si="52"/>
        <v>105</v>
      </c>
      <c r="J833" s="15">
        <f ca="1">K833-L833</f>
        <v>741</v>
      </c>
      <c r="K833" s="15">
        <v>774</v>
      </c>
      <c r="L833" s="15">
        <f ca="1">RANDBETWEEN(30,87)</f>
        <v>33</v>
      </c>
      <c r="M833" s="11">
        <f ca="1">(L833/J833)</f>
        <v>4.4534412955465584E-2</v>
      </c>
      <c r="N833" s="18">
        <v>27</v>
      </c>
      <c r="O833" s="18" t="str">
        <f t="shared" ca="1" si="53"/>
        <v>Understocked</v>
      </c>
      <c r="P833" s="11" t="str">
        <f ca="1">RANDBETWEEN(30,76)&amp;"%"</f>
        <v>46%</v>
      </c>
      <c r="Q833" s="18">
        <f>PRODUCT(K833,N833)</f>
        <v>20898</v>
      </c>
    </row>
    <row r="834" spans="1:17" x14ac:dyDescent="0.45">
      <c r="A834" s="6" t="s">
        <v>242</v>
      </c>
      <c r="B834" s="9" t="s">
        <v>243</v>
      </c>
      <c r="C834" s="6" t="s">
        <v>96</v>
      </c>
      <c r="D834" s="18">
        <f ca="1">RANDBETWEEN(500,1000)</f>
        <v>965</v>
      </c>
      <c r="E834" s="19">
        <v>45415</v>
      </c>
      <c r="F834" s="18">
        <v>97</v>
      </c>
      <c r="G834" s="20">
        <v>0.46</v>
      </c>
      <c r="H834" s="18">
        <f t="shared" ca="1" si="51"/>
        <v>60</v>
      </c>
      <c r="I834" s="18">
        <f t="shared" ca="1" si="52"/>
        <v>125</v>
      </c>
      <c r="J834" s="15">
        <f ca="1">K834-L834</f>
        <v>290</v>
      </c>
      <c r="K834" s="15">
        <v>344</v>
      </c>
      <c r="L834" s="15">
        <f ca="1">RANDBETWEEN(30,87)</f>
        <v>54</v>
      </c>
      <c r="M834" s="11">
        <f ca="1">(L834/J834)</f>
        <v>0.18620689655172415</v>
      </c>
      <c r="N834" s="18">
        <v>82</v>
      </c>
      <c r="O834" s="18" t="str">
        <f t="shared" ca="1" si="53"/>
        <v>Optimal</v>
      </c>
      <c r="P834" s="11" t="str">
        <f ca="1">RANDBETWEEN(30,76)&amp;"%"</f>
        <v>62%</v>
      </c>
      <c r="Q834" s="18">
        <f>PRODUCT(K834,N834)</f>
        <v>28208</v>
      </c>
    </row>
    <row r="835" spans="1:17" x14ac:dyDescent="0.45">
      <c r="A835" s="6" t="s">
        <v>244</v>
      </c>
      <c r="B835" s="9" t="s">
        <v>243</v>
      </c>
      <c r="C835" s="6" t="s">
        <v>96</v>
      </c>
      <c r="D835" s="18">
        <f ca="1">RANDBETWEEN(500,1000)</f>
        <v>577</v>
      </c>
      <c r="E835" s="19">
        <v>45650</v>
      </c>
      <c r="F835" s="18">
        <v>46</v>
      </c>
      <c r="G835" s="20">
        <v>0.51</v>
      </c>
      <c r="H835" s="18">
        <f t="shared" ca="1" si="51"/>
        <v>68</v>
      </c>
      <c r="I835" s="18">
        <f t="shared" ca="1" si="52"/>
        <v>160</v>
      </c>
      <c r="J835" s="15">
        <f ca="1">K835-L835</f>
        <v>136</v>
      </c>
      <c r="K835" s="15">
        <v>215</v>
      </c>
      <c r="L835" s="15">
        <f ca="1">RANDBETWEEN(30,87)</f>
        <v>79</v>
      </c>
      <c r="M835" s="11">
        <f ca="1">(L835/J835)</f>
        <v>0.58088235294117652</v>
      </c>
      <c r="N835" s="18">
        <v>47</v>
      </c>
      <c r="O835" s="18" t="str">
        <f t="shared" ca="1" si="53"/>
        <v>Understocked</v>
      </c>
      <c r="P835" s="11" t="str">
        <f ca="1">RANDBETWEEN(30,76)&amp;"%"</f>
        <v>70%</v>
      </c>
      <c r="Q835" s="18">
        <f>PRODUCT(K835,N835)</f>
        <v>10105</v>
      </c>
    </row>
    <row r="836" spans="1:17" x14ac:dyDescent="0.45">
      <c r="A836" s="6" t="s">
        <v>245</v>
      </c>
      <c r="B836" s="9" t="s">
        <v>243</v>
      </c>
      <c r="C836" s="6" t="s">
        <v>96</v>
      </c>
      <c r="D836" s="18">
        <f ca="1">RANDBETWEEN(500,1000)</f>
        <v>975</v>
      </c>
      <c r="E836" s="19">
        <v>45578</v>
      </c>
      <c r="F836" s="18">
        <v>79</v>
      </c>
      <c r="G836" s="20">
        <v>0.89</v>
      </c>
      <c r="H836" s="18">
        <f t="shared" ca="1" si="51"/>
        <v>63</v>
      </c>
      <c r="I836" s="18">
        <f t="shared" ca="1" si="52"/>
        <v>140</v>
      </c>
      <c r="J836" s="15">
        <f ca="1">K836-L836</f>
        <v>535</v>
      </c>
      <c r="K836" s="15">
        <v>602</v>
      </c>
      <c r="L836" s="15">
        <f ca="1">RANDBETWEEN(30,87)</f>
        <v>67</v>
      </c>
      <c r="M836" s="11">
        <f ca="1">(L836/J836)</f>
        <v>0.12523364485981309</v>
      </c>
      <c r="N836" s="18">
        <v>92</v>
      </c>
      <c r="O836" s="18" t="str">
        <f t="shared" ca="1" si="53"/>
        <v>Optimal</v>
      </c>
      <c r="P836" s="11" t="str">
        <f ca="1">RANDBETWEEN(30,76)&amp;"%"</f>
        <v>56%</v>
      </c>
      <c r="Q836" s="18">
        <f>PRODUCT(K836,N836)</f>
        <v>55384</v>
      </c>
    </row>
    <row r="837" spans="1:17" x14ac:dyDescent="0.45">
      <c r="A837" s="6" t="s">
        <v>247</v>
      </c>
      <c r="B837" s="9" t="s">
        <v>243</v>
      </c>
      <c r="C837" s="6" t="s">
        <v>96</v>
      </c>
      <c r="D837" s="18">
        <f ca="1">RANDBETWEEN(500,1000)</f>
        <v>681</v>
      </c>
      <c r="E837" s="19">
        <v>45566</v>
      </c>
      <c r="F837" s="18">
        <v>53</v>
      </c>
      <c r="G837" s="20">
        <v>0.59</v>
      </c>
      <c r="H837" s="18">
        <f t="shared" ca="1" si="51"/>
        <v>71</v>
      </c>
      <c r="I837" s="18">
        <f t="shared" ca="1" si="52"/>
        <v>122</v>
      </c>
      <c r="J837" s="15">
        <f ca="1">K837-L837</f>
        <v>280.5</v>
      </c>
      <c r="K837" s="15">
        <v>365.5</v>
      </c>
      <c r="L837" s="15">
        <f ca="1">RANDBETWEEN(30,87)</f>
        <v>85</v>
      </c>
      <c r="M837" s="11">
        <f ca="1">(L837/J837)</f>
        <v>0.30303030303030304</v>
      </c>
      <c r="N837" s="18">
        <v>83</v>
      </c>
      <c r="O837" s="18" t="str">
        <f t="shared" ca="1" si="53"/>
        <v>Understocked</v>
      </c>
      <c r="P837" s="11" t="str">
        <f ca="1">RANDBETWEEN(30,76)&amp;"%"</f>
        <v>58%</v>
      </c>
      <c r="Q837" s="18">
        <f>PRODUCT(K837,N837)</f>
        <v>30336.5</v>
      </c>
    </row>
    <row r="838" spans="1:17" x14ac:dyDescent="0.45">
      <c r="A838" s="6" t="s">
        <v>248</v>
      </c>
      <c r="B838" s="9" t="s">
        <v>243</v>
      </c>
      <c r="C838" s="6" t="s">
        <v>96</v>
      </c>
      <c r="D838" s="18">
        <f ca="1">RANDBETWEEN(500,1000)</f>
        <v>903</v>
      </c>
      <c r="E838" s="19">
        <v>45461</v>
      </c>
      <c r="F838" s="18">
        <v>69</v>
      </c>
      <c r="G838" s="20">
        <v>0.43</v>
      </c>
      <c r="H838" s="18">
        <f t="shared" ca="1" si="51"/>
        <v>80</v>
      </c>
      <c r="I838" s="18">
        <f t="shared" ca="1" si="52"/>
        <v>175</v>
      </c>
      <c r="J838" s="15">
        <f ca="1">K838-L838</f>
        <v>1690</v>
      </c>
      <c r="K838" s="15">
        <v>1720</v>
      </c>
      <c r="L838" s="15">
        <f ca="1">RANDBETWEEN(30,87)</f>
        <v>30</v>
      </c>
      <c r="M838" s="11">
        <f ca="1">(L838/J838)</f>
        <v>1.7751479289940829E-2</v>
      </c>
      <c r="N838" s="18">
        <v>79</v>
      </c>
      <c r="O838" s="18" t="str">
        <f t="shared" ca="1" si="53"/>
        <v>Understocked</v>
      </c>
      <c r="P838" s="11" t="str">
        <f ca="1">RANDBETWEEN(30,76)&amp;"%"</f>
        <v>35%</v>
      </c>
      <c r="Q838" s="18">
        <f>PRODUCT(K838,N838)</f>
        <v>135880</v>
      </c>
    </row>
    <row r="839" spans="1:17" x14ac:dyDescent="0.45">
      <c r="A839" s="6" t="s">
        <v>249</v>
      </c>
      <c r="B839" s="9" t="s">
        <v>243</v>
      </c>
      <c r="C839" s="6" t="s">
        <v>96</v>
      </c>
      <c r="D839" s="18">
        <f ca="1">RANDBETWEEN(500,1000)</f>
        <v>691</v>
      </c>
      <c r="E839" s="19">
        <v>45465</v>
      </c>
      <c r="F839" s="18">
        <v>25</v>
      </c>
      <c r="G839" s="20">
        <v>0.52</v>
      </c>
      <c r="H839" s="18">
        <f t="shared" ca="1" si="51"/>
        <v>56</v>
      </c>
      <c r="I839" s="18">
        <f t="shared" ca="1" si="52"/>
        <v>192</v>
      </c>
      <c r="J839" s="15">
        <f ca="1">K839-L839</f>
        <v>96</v>
      </c>
      <c r="K839" s="15">
        <v>172</v>
      </c>
      <c r="L839" s="15">
        <f ca="1">RANDBETWEEN(30,87)</f>
        <v>76</v>
      </c>
      <c r="M839" s="11">
        <f ca="1">(L839/J839)</f>
        <v>0.79166666666666663</v>
      </c>
      <c r="N839" s="18">
        <v>72</v>
      </c>
      <c r="O839" s="18" t="str">
        <f t="shared" ca="1" si="53"/>
        <v>Understocked</v>
      </c>
      <c r="P839" s="11" t="str">
        <f ca="1">RANDBETWEEN(30,76)&amp;"%"</f>
        <v>61%</v>
      </c>
      <c r="Q839" s="18">
        <f>PRODUCT(K839,N839)</f>
        <v>12384</v>
      </c>
    </row>
    <row r="840" spans="1:17" x14ac:dyDescent="0.45">
      <c r="A840" s="6" t="s">
        <v>250</v>
      </c>
      <c r="B840" s="9" t="s">
        <v>243</v>
      </c>
      <c r="C840" s="6" t="s">
        <v>96</v>
      </c>
      <c r="D840" s="18">
        <f ca="1">RANDBETWEEN(500,1000)</f>
        <v>738</v>
      </c>
      <c r="E840" s="19">
        <v>45416</v>
      </c>
      <c r="F840" s="18">
        <v>96</v>
      </c>
      <c r="G840" s="20">
        <v>0.68</v>
      </c>
      <c r="H840" s="18">
        <f t="shared" ca="1" si="51"/>
        <v>75</v>
      </c>
      <c r="I840" s="18">
        <f t="shared" ca="1" si="52"/>
        <v>185</v>
      </c>
      <c r="J840" s="15">
        <f ca="1">K840-L840</f>
        <v>71</v>
      </c>
      <c r="K840" s="15">
        <v>129</v>
      </c>
      <c r="L840" s="15">
        <f ca="1">RANDBETWEEN(30,87)</f>
        <v>58</v>
      </c>
      <c r="M840" s="11">
        <f ca="1">(L840/J840)</f>
        <v>0.81690140845070425</v>
      </c>
      <c r="N840" s="18">
        <v>61</v>
      </c>
      <c r="O840" s="18" t="str">
        <f t="shared" ca="1" si="53"/>
        <v>Optimal</v>
      </c>
      <c r="P840" s="11" t="str">
        <f ca="1">RANDBETWEEN(30,76)&amp;"%"</f>
        <v>37%</v>
      </c>
      <c r="Q840" s="18">
        <f>PRODUCT(K840,N840)</f>
        <v>7869</v>
      </c>
    </row>
    <row r="841" spans="1:17" x14ac:dyDescent="0.45">
      <c r="A841" s="6" t="s">
        <v>251</v>
      </c>
      <c r="B841" s="9" t="s">
        <v>243</v>
      </c>
      <c r="C841" s="6" t="s">
        <v>96</v>
      </c>
      <c r="D841" s="18">
        <f ca="1">RANDBETWEEN(500,1000)</f>
        <v>868</v>
      </c>
      <c r="E841" s="19">
        <v>45586</v>
      </c>
      <c r="F841" s="18">
        <v>91</v>
      </c>
      <c r="G841" s="20">
        <v>0.61</v>
      </c>
      <c r="H841" s="18">
        <f t="shared" ca="1" si="51"/>
        <v>68</v>
      </c>
      <c r="I841" s="18">
        <f t="shared" ca="1" si="52"/>
        <v>120</v>
      </c>
      <c r="J841" s="15">
        <f ca="1">K841-L841</f>
        <v>310</v>
      </c>
      <c r="K841" s="15">
        <v>387</v>
      </c>
      <c r="L841" s="15">
        <f ca="1">RANDBETWEEN(30,87)</f>
        <v>77</v>
      </c>
      <c r="M841" s="11">
        <f ca="1">(L841/J841)</f>
        <v>0.24838709677419354</v>
      </c>
      <c r="N841" s="18">
        <v>43</v>
      </c>
      <c r="O841" s="18" t="str">
        <f t="shared" ca="1" si="53"/>
        <v>Optimal</v>
      </c>
      <c r="P841" s="11" t="str">
        <f ca="1">RANDBETWEEN(30,76)&amp;"%"</f>
        <v>47%</v>
      </c>
      <c r="Q841" s="18">
        <f>PRODUCT(K841,N841)</f>
        <v>16641</v>
      </c>
    </row>
    <row r="842" spans="1:17" x14ac:dyDescent="0.45">
      <c r="A842" s="6" t="s">
        <v>318</v>
      </c>
      <c r="B842" s="9" t="s">
        <v>319</v>
      </c>
      <c r="C842" s="6" t="s">
        <v>96</v>
      </c>
      <c r="D842" s="18">
        <f ca="1">RANDBETWEEN(500,1000)</f>
        <v>810</v>
      </c>
      <c r="E842" s="19">
        <v>45484</v>
      </c>
      <c r="F842" s="18">
        <v>33</v>
      </c>
      <c r="G842" s="20">
        <v>0.76</v>
      </c>
      <c r="H842" s="18">
        <f t="shared" ca="1" si="51"/>
        <v>51</v>
      </c>
      <c r="I842" s="18">
        <f t="shared" ca="1" si="52"/>
        <v>111</v>
      </c>
      <c r="J842" s="15">
        <f ca="1">K842-L842</f>
        <v>171</v>
      </c>
      <c r="K842" s="15">
        <v>215</v>
      </c>
      <c r="L842" s="15">
        <f ca="1">RANDBETWEEN(30,87)</f>
        <v>44</v>
      </c>
      <c r="M842" s="11">
        <f ca="1">(L842/J842)</f>
        <v>0.25730994152046782</v>
      </c>
      <c r="N842" s="18">
        <v>60</v>
      </c>
      <c r="O842" s="18" t="str">
        <f t="shared" ca="1" si="53"/>
        <v>Understocked</v>
      </c>
      <c r="P842" s="11" t="str">
        <f ca="1">RANDBETWEEN(30,76)&amp;"%"</f>
        <v>76%</v>
      </c>
      <c r="Q842" s="18">
        <f>PRODUCT(K842,N842)</f>
        <v>12900</v>
      </c>
    </row>
    <row r="843" spans="1:17" x14ac:dyDescent="0.45">
      <c r="A843" s="6" t="s">
        <v>320</v>
      </c>
      <c r="B843" s="9" t="s">
        <v>319</v>
      </c>
      <c r="C843" s="6" t="s">
        <v>96</v>
      </c>
      <c r="D843" s="18">
        <f ca="1">RANDBETWEEN(500,1000)</f>
        <v>575</v>
      </c>
      <c r="E843" s="19">
        <v>45658</v>
      </c>
      <c r="F843" s="18">
        <v>90</v>
      </c>
      <c r="G843" s="20">
        <v>0.74</v>
      </c>
      <c r="H843" s="18">
        <f t="shared" ref="H843:H906" ca="1" si="54">RANDBETWEEN(50,80)</f>
        <v>75</v>
      </c>
      <c r="I843" s="18">
        <f t="shared" ref="I843:I906" ca="1" si="55">RANDBETWEEN(70,200)</f>
        <v>110</v>
      </c>
      <c r="J843" s="15">
        <f ca="1">K843-L843</f>
        <v>258</v>
      </c>
      <c r="K843" s="15">
        <v>344</v>
      </c>
      <c r="L843" s="15">
        <f ca="1">RANDBETWEEN(30,87)</f>
        <v>86</v>
      </c>
      <c r="M843" s="11">
        <f ca="1">(L843/J843)</f>
        <v>0.33333333333333331</v>
      </c>
      <c r="N843" s="18">
        <v>55</v>
      </c>
      <c r="O843" s="18" t="str">
        <f t="shared" ref="O843:O906" ca="1" si="56">IF(F843&lt;H843,"Understocked","Optimal")</f>
        <v>Optimal</v>
      </c>
      <c r="P843" s="11" t="str">
        <f ca="1">RANDBETWEEN(30,76)&amp;"%"</f>
        <v>74%</v>
      </c>
      <c r="Q843" s="18">
        <f>PRODUCT(K843,N843)</f>
        <v>18920</v>
      </c>
    </row>
    <row r="844" spans="1:17" x14ac:dyDescent="0.45">
      <c r="A844" s="6" t="s">
        <v>321</v>
      </c>
      <c r="B844" s="9" t="s">
        <v>319</v>
      </c>
      <c r="C844" s="6" t="s">
        <v>96</v>
      </c>
      <c r="D844" s="18">
        <f ca="1">RANDBETWEEN(500,1000)</f>
        <v>827</v>
      </c>
      <c r="E844" s="19">
        <v>45519</v>
      </c>
      <c r="F844" s="18">
        <v>54</v>
      </c>
      <c r="G844" s="20">
        <v>0.8</v>
      </c>
      <c r="H844" s="18">
        <f t="shared" ca="1" si="54"/>
        <v>72</v>
      </c>
      <c r="I844" s="18">
        <f t="shared" ca="1" si="55"/>
        <v>79</v>
      </c>
      <c r="J844" s="15">
        <f ca="1">K844-L844</f>
        <v>467</v>
      </c>
      <c r="K844" s="15">
        <v>516</v>
      </c>
      <c r="L844" s="15">
        <f ca="1">RANDBETWEEN(30,87)</f>
        <v>49</v>
      </c>
      <c r="M844" s="11">
        <f ca="1">(L844/J844)</f>
        <v>0.10492505353319058</v>
      </c>
      <c r="N844" s="18">
        <v>29</v>
      </c>
      <c r="O844" s="18" t="str">
        <f t="shared" ca="1" si="56"/>
        <v>Understocked</v>
      </c>
      <c r="P844" s="11" t="str">
        <f ca="1">RANDBETWEEN(30,76)&amp;"%"</f>
        <v>34%</v>
      </c>
      <c r="Q844" s="18">
        <f>PRODUCT(K844,N844)</f>
        <v>14964</v>
      </c>
    </row>
    <row r="845" spans="1:17" x14ac:dyDescent="0.45">
      <c r="A845" s="6" t="s">
        <v>322</v>
      </c>
      <c r="B845" s="9" t="s">
        <v>319</v>
      </c>
      <c r="C845" s="6" t="s">
        <v>96</v>
      </c>
      <c r="D845" s="18">
        <f ca="1">RANDBETWEEN(500,1000)</f>
        <v>674</v>
      </c>
      <c r="E845" s="19">
        <v>45646</v>
      </c>
      <c r="F845" s="18">
        <v>89</v>
      </c>
      <c r="G845" s="20">
        <v>0.78</v>
      </c>
      <c r="H845" s="18">
        <f t="shared" ca="1" si="54"/>
        <v>71</v>
      </c>
      <c r="I845" s="18">
        <f t="shared" ca="1" si="55"/>
        <v>184</v>
      </c>
      <c r="J845" s="15">
        <f ca="1">K845-L845</f>
        <v>430</v>
      </c>
      <c r="K845" s="15">
        <v>516</v>
      </c>
      <c r="L845" s="15">
        <f ca="1">RANDBETWEEN(30,87)</f>
        <v>86</v>
      </c>
      <c r="M845" s="11">
        <f ca="1">(L845/J845)</f>
        <v>0.2</v>
      </c>
      <c r="N845" s="18">
        <v>91</v>
      </c>
      <c r="O845" s="18" t="str">
        <f t="shared" ca="1" si="56"/>
        <v>Optimal</v>
      </c>
      <c r="P845" s="11" t="str">
        <f ca="1">RANDBETWEEN(30,76)&amp;"%"</f>
        <v>72%</v>
      </c>
      <c r="Q845" s="18">
        <f>PRODUCT(K845,N845)</f>
        <v>46956</v>
      </c>
    </row>
    <row r="846" spans="1:17" x14ac:dyDescent="0.45">
      <c r="A846" s="6" t="s">
        <v>337</v>
      </c>
      <c r="B846" s="9" t="s">
        <v>338</v>
      </c>
      <c r="C846" s="6" t="s">
        <v>96</v>
      </c>
      <c r="D846" s="18">
        <f ca="1">RANDBETWEEN(500,1000)</f>
        <v>572</v>
      </c>
      <c r="E846" s="19">
        <v>45394</v>
      </c>
      <c r="F846" s="18">
        <v>20</v>
      </c>
      <c r="G846" s="20">
        <v>0.56999999999999995</v>
      </c>
      <c r="H846" s="18">
        <f t="shared" ca="1" si="54"/>
        <v>51</v>
      </c>
      <c r="I846" s="18">
        <f t="shared" ca="1" si="55"/>
        <v>192</v>
      </c>
      <c r="J846" s="15">
        <f ca="1">K846-L846</f>
        <v>378</v>
      </c>
      <c r="K846" s="15">
        <v>430</v>
      </c>
      <c r="L846" s="15">
        <f ca="1">RANDBETWEEN(30,87)</f>
        <v>52</v>
      </c>
      <c r="M846" s="11">
        <f ca="1">(L846/J846)</f>
        <v>0.13756613756613756</v>
      </c>
      <c r="N846" s="18">
        <v>86</v>
      </c>
      <c r="O846" s="18" t="str">
        <f t="shared" ca="1" si="56"/>
        <v>Understocked</v>
      </c>
      <c r="P846" s="11" t="str">
        <f ca="1">RANDBETWEEN(30,76)&amp;"%"</f>
        <v>71%</v>
      </c>
      <c r="Q846" s="18">
        <f>PRODUCT(K846,N846)</f>
        <v>36980</v>
      </c>
    </row>
    <row r="847" spans="1:17" x14ac:dyDescent="0.45">
      <c r="A847" s="6" t="s">
        <v>339</v>
      </c>
      <c r="B847" s="9" t="s">
        <v>338</v>
      </c>
      <c r="C847" s="6" t="s">
        <v>96</v>
      </c>
      <c r="D847" s="18">
        <f ca="1">RANDBETWEEN(500,1000)</f>
        <v>931</v>
      </c>
      <c r="E847" s="19">
        <v>45681</v>
      </c>
      <c r="F847" s="18">
        <v>17</v>
      </c>
      <c r="G847" s="20">
        <v>0.36</v>
      </c>
      <c r="H847" s="18">
        <f t="shared" ca="1" si="54"/>
        <v>58</v>
      </c>
      <c r="I847" s="18">
        <f t="shared" ca="1" si="55"/>
        <v>171</v>
      </c>
      <c r="J847" s="15">
        <f ca="1">K847-L847</f>
        <v>820</v>
      </c>
      <c r="K847" s="15">
        <v>860</v>
      </c>
      <c r="L847" s="15">
        <f ca="1">RANDBETWEEN(30,87)</f>
        <v>40</v>
      </c>
      <c r="M847" s="11">
        <f ca="1">(L847/J847)</f>
        <v>4.878048780487805E-2</v>
      </c>
      <c r="N847" s="18">
        <v>23</v>
      </c>
      <c r="O847" s="18" t="str">
        <f t="shared" ca="1" si="56"/>
        <v>Understocked</v>
      </c>
      <c r="P847" s="11" t="str">
        <f ca="1">RANDBETWEEN(30,76)&amp;"%"</f>
        <v>47%</v>
      </c>
      <c r="Q847" s="18">
        <f>PRODUCT(K847,N847)</f>
        <v>19780</v>
      </c>
    </row>
    <row r="848" spans="1:17" x14ac:dyDescent="0.45">
      <c r="A848" s="6" t="s">
        <v>340</v>
      </c>
      <c r="B848" s="9" t="s">
        <v>338</v>
      </c>
      <c r="C848" s="6" t="s">
        <v>96</v>
      </c>
      <c r="D848" s="18">
        <f ca="1">RANDBETWEEN(500,1000)</f>
        <v>932</v>
      </c>
      <c r="E848" s="19">
        <v>45553</v>
      </c>
      <c r="F848" s="18">
        <v>26</v>
      </c>
      <c r="G848" s="20">
        <v>0.8</v>
      </c>
      <c r="H848" s="18">
        <f t="shared" ca="1" si="54"/>
        <v>80</v>
      </c>
      <c r="I848" s="18">
        <f t="shared" ca="1" si="55"/>
        <v>141</v>
      </c>
      <c r="J848" s="15">
        <f ca="1">K848-L848</f>
        <v>316</v>
      </c>
      <c r="K848" s="15">
        <v>387</v>
      </c>
      <c r="L848" s="15">
        <f ca="1">RANDBETWEEN(30,87)</f>
        <v>71</v>
      </c>
      <c r="M848" s="11">
        <f ca="1">(L848/J848)</f>
        <v>0.22468354430379747</v>
      </c>
      <c r="N848" s="18">
        <v>45</v>
      </c>
      <c r="O848" s="18" t="str">
        <f t="shared" ca="1" si="56"/>
        <v>Understocked</v>
      </c>
      <c r="P848" s="11" t="str">
        <f ca="1">RANDBETWEEN(30,76)&amp;"%"</f>
        <v>32%</v>
      </c>
      <c r="Q848" s="18">
        <f>PRODUCT(K848,N848)</f>
        <v>17415</v>
      </c>
    </row>
    <row r="849" spans="1:17" x14ac:dyDescent="0.45">
      <c r="A849" s="6" t="s">
        <v>341</v>
      </c>
      <c r="B849" s="9" t="s">
        <v>338</v>
      </c>
      <c r="C849" s="6" t="s">
        <v>96</v>
      </c>
      <c r="D849" s="18">
        <f ca="1">RANDBETWEEN(500,1000)</f>
        <v>524</v>
      </c>
      <c r="E849" s="19">
        <v>45414</v>
      </c>
      <c r="F849" s="18">
        <v>28</v>
      </c>
      <c r="G849" s="20">
        <v>0.72</v>
      </c>
      <c r="H849" s="18">
        <f t="shared" ca="1" si="54"/>
        <v>61</v>
      </c>
      <c r="I849" s="18">
        <f t="shared" ca="1" si="55"/>
        <v>146</v>
      </c>
      <c r="J849" s="15">
        <f ca="1">K849-L849</f>
        <v>181</v>
      </c>
      <c r="K849" s="15">
        <v>215</v>
      </c>
      <c r="L849" s="15">
        <f ca="1">RANDBETWEEN(30,87)</f>
        <v>34</v>
      </c>
      <c r="M849" s="11">
        <f ca="1">(L849/J849)</f>
        <v>0.18784530386740331</v>
      </c>
      <c r="N849" s="18">
        <v>32</v>
      </c>
      <c r="O849" s="18" t="str">
        <f t="shared" ca="1" si="56"/>
        <v>Understocked</v>
      </c>
      <c r="P849" s="11" t="str">
        <f ca="1">RANDBETWEEN(30,76)&amp;"%"</f>
        <v>69%</v>
      </c>
      <c r="Q849" s="18">
        <f>PRODUCT(K849,N849)</f>
        <v>6880</v>
      </c>
    </row>
    <row r="850" spans="1:17" x14ac:dyDescent="0.45">
      <c r="A850" s="6" t="s">
        <v>342</v>
      </c>
      <c r="B850" s="9" t="s">
        <v>338</v>
      </c>
      <c r="C850" s="6" t="s">
        <v>96</v>
      </c>
      <c r="D850" s="18">
        <f ca="1">RANDBETWEEN(500,1000)</f>
        <v>526</v>
      </c>
      <c r="E850" s="19">
        <v>45538</v>
      </c>
      <c r="F850" s="18">
        <v>70</v>
      </c>
      <c r="G850" s="20">
        <v>0.75</v>
      </c>
      <c r="H850" s="18">
        <f t="shared" ca="1" si="54"/>
        <v>64</v>
      </c>
      <c r="I850" s="18">
        <f t="shared" ca="1" si="55"/>
        <v>119</v>
      </c>
      <c r="J850" s="15">
        <f ca="1">K850-L850</f>
        <v>313</v>
      </c>
      <c r="K850" s="15">
        <v>344</v>
      </c>
      <c r="L850" s="15">
        <f ca="1">RANDBETWEEN(30,87)</f>
        <v>31</v>
      </c>
      <c r="M850" s="11">
        <f ca="1">(L850/J850)</f>
        <v>9.9041533546325874E-2</v>
      </c>
      <c r="N850" s="18">
        <v>34</v>
      </c>
      <c r="O850" s="18" t="str">
        <f t="shared" ca="1" si="56"/>
        <v>Optimal</v>
      </c>
      <c r="P850" s="11" t="str">
        <f ca="1">RANDBETWEEN(30,76)&amp;"%"</f>
        <v>64%</v>
      </c>
      <c r="Q850" s="18">
        <f>PRODUCT(K850,N850)</f>
        <v>11696</v>
      </c>
    </row>
    <row r="851" spans="1:17" x14ac:dyDescent="0.45">
      <c r="A851" s="6" t="s">
        <v>343</v>
      </c>
      <c r="B851" s="9" t="s">
        <v>338</v>
      </c>
      <c r="C851" s="6" t="s">
        <v>96</v>
      </c>
      <c r="D851" s="18">
        <f ca="1">RANDBETWEEN(500,1000)</f>
        <v>509</v>
      </c>
      <c r="E851" s="19">
        <v>45419</v>
      </c>
      <c r="F851" s="18">
        <v>96</v>
      </c>
      <c r="G851" s="20">
        <v>0.83</v>
      </c>
      <c r="H851" s="18">
        <f t="shared" ca="1" si="54"/>
        <v>53</v>
      </c>
      <c r="I851" s="18">
        <f t="shared" ca="1" si="55"/>
        <v>198</v>
      </c>
      <c r="J851" s="15">
        <f ca="1">K851-L851</f>
        <v>81</v>
      </c>
      <c r="K851" s="15">
        <v>129</v>
      </c>
      <c r="L851" s="15">
        <f ca="1">RANDBETWEEN(30,87)</f>
        <v>48</v>
      </c>
      <c r="M851" s="11">
        <f ca="1">(L851/J851)</f>
        <v>0.59259259259259256</v>
      </c>
      <c r="N851" s="18">
        <v>67</v>
      </c>
      <c r="O851" s="18" t="str">
        <f t="shared" ca="1" si="56"/>
        <v>Optimal</v>
      </c>
      <c r="P851" s="11" t="str">
        <f ca="1">RANDBETWEEN(30,76)&amp;"%"</f>
        <v>66%</v>
      </c>
      <c r="Q851" s="18">
        <f>PRODUCT(K851,N851)</f>
        <v>8643</v>
      </c>
    </row>
    <row r="852" spans="1:17" x14ac:dyDescent="0.45">
      <c r="A852" s="6" t="s">
        <v>344</v>
      </c>
      <c r="B852" s="9" t="s">
        <v>338</v>
      </c>
      <c r="C852" s="6" t="s">
        <v>96</v>
      </c>
      <c r="D852" s="18">
        <f ca="1">RANDBETWEEN(500,1000)</f>
        <v>761</v>
      </c>
      <c r="E852" s="19">
        <v>45441</v>
      </c>
      <c r="F852" s="18">
        <v>32</v>
      </c>
      <c r="G852" s="20">
        <v>0.47</v>
      </c>
      <c r="H852" s="18">
        <f t="shared" ca="1" si="54"/>
        <v>78</v>
      </c>
      <c r="I852" s="18">
        <f t="shared" ca="1" si="55"/>
        <v>123</v>
      </c>
      <c r="J852" s="15">
        <f ca="1">K852-L852</f>
        <v>237</v>
      </c>
      <c r="K852" s="15">
        <v>301</v>
      </c>
      <c r="L852" s="15">
        <f ca="1">RANDBETWEEN(30,87)</f>
        <v>64</v>
      </c>
      <c r="M852" s="11">
        <f ca="1">(L852/J852)</f>
        <v>0.27004219409282698</v>
      </c>
      <c r="N852" s="18">
        <v>52</v>
      </c>
      <c r="O852" s="18" t="str">
        <f t="shared" ca="1" si="56"/>
        <v>Understocked</v>
      </c>
      <c r="P852" s="11" t="str">
        <f ca="1">RANDBETWEEN(30,76)&amp;"%"</f>
        <v>38%</v>
      </c>
      <c r="Q852" s="18">
        <f>PRODUCT(K852,N852)</f>
        <v>15652</v>
      </c>
    </row>
    <row r="853" spans="1:17" x14ac:dyDescent="0.45">
      <c r="A853" s="6" t="s">
        <v>345</v>
      </c>
      <c r="B853" s="9" t="s">
        <v>338</v>
      </c>
      <c r="C853" s="6" t="s">
        <v>96</v>
      </c>
      <c r="D853" s="18">
        <f ca="1">RANDBETWEEN(500,1000)</f>
        <v>945</v>
      </c>
      <c r="E853" s="19">
        <v>45539</v>
      </c>
      <c r="F853" s="18">
        <v>75</v>
      </c>
      <c r="G853" s="20">
        <v>0.77</v>
      </c>
      <c r="H853" s="18">
        <f t="shared" ca="1" si="54"/>
        <v>69</v>
      </c>
      <c r="I853" s="18">
        <f t="shared" ca="1" si="55"/>
        <v>126</v>
      </c>
      <c r="J853" s="15">
        <f ca="1">K853-L853</f>
        <v>472</v>
      </c>
      <c r="K853" s="15">
        <v>559</v>
      </c>
      <c r="L853" s="15">
        <f ca="1">RANDBETWEEN(30,87)</f>
        <v>87</v>
      </c>
      <c r="M853" s="11">
        <f ca="1">(L853/J853)</f>
        <v>0.18432203389830509</v>
      </c>
      <c r="N853" s="18">
        <v>100</v>
      </c>
      <c r="O853" s="18" t="str">
        <f t="shared" ca="1" si="56"/>
        <v>Optimal</v>
      </c>
      <c r="P853" s="11" t="str">
        <f ca="1">RANDBETWEEN(30,76)&amp;"%"</f>
        <v>40%</v>
      </c>
      <c r="Q853" s="18">
        <f>PRODUCT(K853,N853)</f>
        <v>55900</v>
      </c>
    </row>
    <row r="854" spans="1:17" x14ac:dyDescent="0.45">
      <c r="A854" s="6" t="s">
        <v>346</v>
      </c>
      <c r="B854" s="9" t="s">
        <v>338</v>
      </c>
      <c r="C854" s="6" t="s">
        <v>96</v>
      </c>
      <c r="D854" s="18">
        <f ca="1">RANDBETWEEN(500,1000)</f>
        <v>750</v>
      </c>
      <c r="E854" s="19">
        <v>45382</v>
      </c>
      <c r="F854" s="18">
        <v>50</v>
      </c>
      <c r="G854" s="20">
        <v>0.32</v>
      </c>
      <c r="H854" s="18">
        <f t="shared" ca="1" si="54"/>
        <v>66</v>
      </c>
      <c r="I854" s="18">
        <f t="shared" ca="1" si="55"/>
        <v>132</v>
      </c>
      <c r="J854" s="15">
        <f ca="1">K854-L854</f>
        <v>1511</v>
      </c>
      <c r="K854" s="15">
        <v>1548</v>
      </c>
      <c r="L854" s="15">
        <f ca="1">RANDBETWEEN(30,87)</f>
        <v>37</v>
      </c>
      <c r="M854" s="11">
        <f ca="1">(L854/J854)</f>
        <v>2.4487094639311716E-2</v>
      </c>
      <c r="N854" s="18">
        <v>28</v>
      </c>
      <c r="O854" s="18" t="str">
        <f t="shared" ca="1" si="56"/>
        <v>Understocked</v>
      </c>
      <c r="P854" s="11" t="str">
        <f ca="1">RANDBETWEEN(30,76)&amp;"%"</f>
        <v>30%</v>
      </c>
      <c r="Q854" s="18">
        <f>PRODUCT(K854,N854)</f>
        <v>43344</v>
      </c>
    </row>
    <row r="855" spans="1:17" x14ac:dyDescent="0.45">
      <c r="A855" s="6" t="s">
        <v>684</v>
      </c>
      <c r="B855" s="9" t="s">
        <v>685</v>
      </c>
      <c r="C855" s="6" t="s">
        <v>96</v>
      </c>
      <c r="D855" s="18">
        <f ca="1">RANDBETWEEN(500,1000)</f>
        <v>746</v>
      </c>
      <c r="E855" s="19">
        <v>45456</v>
      </c>
      <c r="F855" s="18">
        <v>36</v>
      </c>
      <c r="G855" s="20">
        <v>0.52</v>
      </c>
      <c r="H855" s="18">
        <f t="shared" ca="1" si="54"/>
        <v>78</v>
      </c>
      <c r="I855" s="18">
        <f t="shared" ca="1" si="55"/>
        <v>149</v>
      </c>
      <c r="J855" s="15">
        <f ca="1">K855-L855</f>
        <v>123</v>
      </c>
      <c r="K855" s="15">
        <v>172</v>
      </c>
      <c r="L855" s="15">
        <f ca="1">RANDBETWEEN(30,87)</f>
        <v>49</v>
      </c>
      <c r="M855" s="11">
        <f ca="1">(L855/J855)</f>
        <v>0.3983739837398374</v>
      </c>
      <c r="N855" s="18">
        <v>74</v>
      </c>
      <c r="O855" s="18" t="str">
        <f t="shared" ca="1" si="56"/>
        <v>Understocked</v>
      </c>
      <c r="P855" s="11" t="str">
        <f ca="1">RANDBETWEEN(30,76)&amp;"%"</f>
        <v>74%</v>
      </c>
      <c r="Q855" s="18">
        <f>PRODUCT(K855,N855)</f>
        <v>12728</v>
      </c>
    </row>
    <row r="856" spans="1:17" x14ac:dyDescent="0.45">
      <c r="A856" s="6" t="s">
        <v>686</v>
      </c>
      <c r="B856" s="9" t="s">
        <v>685</v>
      </c>
      <c r="C856" s="6" t="s">
        <v>96</v>
      </c>
      <c r="D856" s="18">
        <f ca="1">RANDBETWEEN(500,1000)</f>
        <v>987</v>
      </c>
      <c r="E856" s="19">
        <v>45680</v>
      </c>
      <c r="F856" s="18">
        <v>100</v>
      </c>
      <c r="G856" s="20">
        <v>0.56999999999999995</v>
      </c>
      <c r="H856" s="18">
        <f t="shared" ca="1" si="54"/>
        <v>65</v>
      </c>
      <c r="I856" s="18">
        <f t="shared" ca="1" si="55"/>
        <v>157</v>
      </c>
      <c r="J856" s="15">
        <f ca="1">K856-L856</f>
        <v>1002</v>
      </c>
      <c r="K856" s="15">
        <v>1075</v>
      </c>
      <c r="L856" s="15">
        <f ca="1">RANDBETWEEN(30,87)</f>
        <v>73</v>
      </c>
      <c r="M856" s="11">
        <f ca="1">(L856/J856)</f>
        <v>7.2854291417165665E-2</v>
      </c>
      <c r="N856" s="18">
        <v>84</v>
      </c>
      <c r="O856" s="18" t="str">
        <f t="shared" ca="1" si="56"/>
        <v>Optimal</v>
      </c>
      <c r="P856" s="11" t="str">
        <f ca="1">RANDBETWEEN(30,76)&amp;"%"</f>
        <v>61%</v>
      </c>
      <c r="Q856" s="18">
        <f>PRODUCT(K856,N856)</f>
        <v>90300</v>
      </c>
    </row>
    <row r="857" spans="1:17" x14ac:dyDescent="0.45">
      <c r="A857" s="6" t="s">
        <v>687</v>
      </c>
      <c r="B857" s="9" t="s">
        <v>685</v>
      </c>
      <c r="C857" s="6" t="s">
        <v>96</v>
      </c>
      <c r="D857" s="18">
        <f ca="1">RANDBETWEEN(500,1000)</f>
        <v>672</v>
      </c>
      <c r="E857" s="19">
        <v>45530</v>
      </c>
      <c r="F857" s="18">
        <v>83</v>
      </c>
      <c r="G857" s="20">
        <v>0.32</v>
      </c>
      <c r="H857" s="18">
        <f t="shared" ca="1" si="54"/>
        <v>71</v>
      </c>
      <c r="I857" s="18">
        <f t="shared" ca="1" si="55"/>
        <v>99</v>
      </c>
      <c r="J857" s="15">
        <f ca="1">K857-L857</f>
        <v>225</v>
      </c>
      <c r="K857" s="15">
        <v>258</v>
      </c>
      <c r="L857" s="15">
        <f ca="1">RANDBETWEEN(30,87)</f>
        <v>33</v>
      </c>
      <c r="M857" s="11">
        <f ca="1">(L857/J857)</f>
        <v>0.14666666666666667</v>
      </c>
      <c r="N857" s="18">
        <v>47</v>
      </c>
      <c r="O857" s="18" t="str">
        <f t="shared" ca="1" si="56"/>
        <v>Optimal</v>
      </c>
      <c r="P857" s="11" t="str">
        <f ca="1">RANDBETWEEN(30,76)&amp;"%"</f>
        <v>46%</v>
      </c>
      <c r="Q857" s="18">
        <f>PRODUCT(K857,N857)</f>
        <v>12126</v>
      </c>
    </row>
    <row r="858" spans="1:17" x14ac:dyDescent="0.45">
      <c r="A858" s="6" t="s">
        <v>688</v>
      </c>
      <c r="B858" s="9" t="s">
        <v>685</v>
      </c>
      <c r="C858" s="6" t="s">
        <v>96</v>
      </c>
      <c r="D858" s="18">
        <f ca="1">RANDBETWEEN(500,1000)</f>
        <v>980</v>
      </c>
      <c r="E858" s="19">
        <v>45524</v>
      </c>
      <c r="F858" s="18">
        <v>28</v>
      </c>
      <c r="G858" s="20">
        <v>0.76</v>
      </c>
      <c r="H858" s="18">
        <f t="shared" ca="1" si="54"/>
        <v>61</v>
      </c>
      <c r="I858" s="18">
        <f t="shared" ca="1" si="55"/>
        <v>184</v>
      </c>
      <c r="J858" s="15">
        <f ca="1">K858-L858</f>
        <v>469</v>
      </c>
      <c r="K858" s="15">
        <v>516</v>
      </c>
      <c r="L858" s="15">
        <f ca="1">RANDBETWEEN(30,87)</f>
        <v>47</v>
      </c>
      <c r="M858" s="11">
        <f ca="1">(L858/J858)</f>
        <v>0.10021321961620469</v>
      </c>
      <c r="N858" s="18">
        <v>38</v>
      </c>
      <c r="O858" s="18" t="str">
        <f t="shared" ca="1" si="56"/>
        <v>Understocked</v>
      </c>
      <c r="P858" s="11" t="str">
        <f ca="1">RANDBETWEEN(30,76)&amp;"%"</f>
        <v>40%</v>
      </c>
      <c r="Q858" s="18">
        <f>PRODUCT(K858,N858)</f>
        <v>19608</v>
      </c>
    </row>
    <row r="859" spans="1:17" x14ac:dyDescent="0.45">
      <c r="A859" s="6" t="s">
        <v>689</v>
      </c>
      <c r="B859" s="9" t="s">
        <v>685</v>
      </c>
      <c r="C859" s="6" t="s">
        <v>96</v>
      </c>
      <c r="D859" s="18">
        <f ca="1">RANDBETWEEN(500,1000)</f>
        <v>709</v>
      </c>
      <c r="E859" s="19">
        <v>45417</v>
      </c>
      <c r="F859" s="18">
        <v>52</v>
      </c>
      <c r="G859" s="20">
        <v>0.32</v>
      </c>
      <c r="H859" s="18">
        <f t="shared" ca="1" si="54"/>
        <v>73</v>
      </c>
      <c r="I859" s="18">
        <f t="shared" ca="1" si="55"/>
        <v>79</v>
      </c>
      <c r="J859" s="15">
        <f ca="1">K859-L859</f>
        <v>330.7</v>
      </c>
      <c r="K859" s="15">
        <v>382.7</v>
      </c>
      <c r="L859" s="15">
        <f ca="1">RANDBETWEEN(30,87)</f>
        <v>52</v>
      </c>
      <c r="M859" s="11">
        <f ca="1">(L859/J859)</f>
        <v>0.15724221348654371</v>
      </c>
      <c r="N859" s="18">
        <v>100</v>
      </c>
      <c r="O859" s="18" t="str">
        <f t="shared" ca="1" si="56"/>
        <v>Understocked</v>
      </c>
      <c r="P859" s="11" t="str">
        <f ca="1">RANDBETWEEN(30,76)&amp;"%"</f>
        <v>31%</v>
      </c>
      <c r="Q859" s="18">
        <f>PRODUCT(K859,N859)</f>
        <v>38270</v>
      </c>
    </row>
    <row r="860" spans="1:17" x14ac:dyDescent="0.45">
      <c r="A860" s="6" t="s">
        <v>690</v>
      </c>
      <c r="B860" s="9" t="s">
        <v>685</v>
      </c>
      <c r="C860" s="6" t="s">
        <v>96</v>
      </c>
      <c r="D860" s="18">
        <f ca="1">RANDBETWEEN(500,1000)</f>
        <v>612</v>
      </c>
      <c r="E860" s="19">
        <v>45471</v>
      </c>
      <c r="F860" s="18">
        <v>47</v>
      </c>
      <c r="G860" s="20">
        <v>0.65</v>
      </c>
      <c r="H860" s="18">
        <f t="shared" ca="1" si="54"/>
        <v>69</v>
      </c>
      <c r="I860" s="18">
        <f t="shared" ca="1" si="55"/>
        <v>166</v>
      </c>
      <c r="J860" s="15">
        <f ca="1">K860-L860</f>
        <v>92</v>
      </c>
      <c r="K860" s="15">
        <v>172</v>
      </c>
      <c r="L860" s="15">
        <f ca="1">RANDBETWEEN(30,87)</f>
        <v>80</v>
      </c>
      <c r="M860" s="11">
        <f ca="1">(L860/J860)</f>
        <v>0.86956521739130432</v>
      </c>
      <c r="N860" s="18">
        <v>42</v>
      </c>
      <c r="O860" s="18" t="str">
        <f t="shared" ca="1" si="56"/>
        <v>Understocked</v>
      </c>
      <c r="P860" s="11" t="str">
        <f ca="1">RANDBETWEEN(30,76)&amp;"%"</f>
        <v>50%</v>
      </c>
      <c r="Q860" s="18">
        <f>PRODUCT(K860,N860)</f>
        <v>7224</v>
      </c>
    </row>
    <row r="861" spans="1:17" x14ac:dyDescent="0.45">
      <c r="A861" s="6" t="s">
        <v>716</v>
      </c>
      <c r="B861" s="9" t="s">
        <v>717</v>
      </c>
      <c r="C861" s="6" t="s">
        <v>96</v>
      </c>
      <c r="D861" s="18">
        <f ca="1">RANDBETWEEN(500,1000)</f>
        <v>728</v>
      </c>
      <c r="E861" s="19">
        <v>45392</v>
      </c>
      <c r="F861" s="18">
        <v>67</v>
      </c>
      <c r="G861" s="20">
        <v>0.6</v>
      </c>
      <c r="H861" s="18">
        <f t="shared" ca="1" si="54"/>
        <v>70</v>
      </c>
      <c r="I861" s="18">
        <f t="shared" ca="1" si="55"/>
        <v>143</v>
      </c>
      <c r="J861" s="15">
        <f ca="1">K861-L861</f>
        <v>287</v>
      </c>
      <c r="K861" s="15">
        <v>344</v>
      </c>
      <c r="L861" s="15">
        <f ca="1">RANDBETWEEN(30,87)</f>
        <v>57</v>
      </c>
      <c r="M861" s="11">
        <f ca="1">(L861/J861)</f>
        <v>0.19860627177700349</v>
      </c>
      <c r="N861" s="18">
        <v>78</v>
      </c>
      <c r="O861" s="18" t="str">
        <f t="shared" ca="1" si="56"/>
        <v>Understocked</v>
      </c>
      <c r="P861" s="11" t="str">
        <f ca="1">RANDBETWEEN(30,76)&amp;"%"</f>
        <v>59%</v>
      </c>
      <c r="Q861" s="18">
        <f>PRODUCT(K861,N861)</f>
        <v>26832</v>
      </c>
    </row>
    <row r="862" spans="1:17" x14ac:dyDescent="0.45">
      <c r="A862" s="6" t="s">
        <v>718</v>
      </c>
      <c r="B862" s="9" t="s">
        <v>717</v>
      </c>
      <c r="C862" s="6" t="s">
        <v>96</v>
      </c>
      <c r="D862" s="18">
        <f ca="1">RANDBETWEEN(500,1000)</f>
        <v>829</v>
      </c>
      <c r="E862" s="19">
        <v>45664</v>
      </c>
      <c r="F862" s="18">
        <v>44</v>
      </c>
      <c r="G862" s="20">
        <v>0.6</v>
      </c>
      <c r="H862" s="18">
        <f t="shared" ca="1" si="54"/>
        <v>76</v>
      </c>
      <c r="I862" s="18">
        <f t="shared" ca="1" si="55"/>
        <v>136</v>
      </c>
      <c r="J862" s="15">
        <f ca="1">K862-L862</f>
        <v>345.5</v>
      </c>
      <c r="K862" s="15">
        <v>408.5</v>
      </c>
      <c r="L862" s="15">
        <f ca="1">RANDBETWEEN(30,87)</f>
        <v>63</v>
      </c>
      <c r="M862" s="11">
        <f ca="1">(L862/J862)</f>
        <v>0.18234442836468887</v>
      </c>
      <c r="N862" s="18">
        <v>46</v>
      </c>
      <c r="O862" s="18" t="str">
        <f t="shared" ca="1" si="56"/>
        <v>Understocked</v>
      </c>
      <c r="P862" s="11" t="str">
        <f ca="1">RANDBETWEEN(30,76)&amp;"%"</f>
        <v>57%</v>
      </c>
      <c r="Q862" s="18">
        <f>PRODUCT(K862,N862)</f>
        <v>18791</v>
      </c>
    </row>
    <row r="863" spans="1:17" x14ac:dyDescent="0.45">
      <c r="A863" s="6" t="s">
        <v>719</v>
      </c>
      <c r="B863" s="9" t="s">
        <v>717</v>
      </c>
      <c r="C863" s="6" t="s">
        <v>96</v>
      </c>
      <c r="D863" s="18">
        <f ca="1">RANDBETWEEN(500,1000)</f>
        <v>605</v>
      </c>
      <c r="E863" s="19">
        <v>45435</v>
      </c>
      <c r="F863" s="18">
        <v>69</v>
      </c>
      <c r="G863" s="20">
        <v>0.44</v>
      </c>
      <c r="H863" s="18">
        <f t="shared" ca="1" si="54"/>
        <v>58</v>
      </c>
      <c r="I863" s="18">
        <f t="shared" ca="1" si="55"/>
        <v>189</v>
      </c>
      <c r="J863" s="15">
        <f ca="1">K863-L863</f>
        <v>109</v>
      </c>
      <c r="K863" s="15">
        <v>172</v>
      </c>
      <c r="L863" s="15">
        <f ca="1">RANDBETWEEN(30,87)</f>
        <v>63</v>
      </c>
      <c r="M863" s="11">
        <f ca="1">(L863/J863)</f>
        <v>0.57798165137614677</v>
      </c>
      <c r="N863" s="18">
        <v>63</v>
      </c>
      <c r="O863" s="18" t="str">
        <f t="shared" ca="1" si="56"/>
        <v>Optimal</v>
      </c>
      <c r="P863" s="11" t="str">
        <f ca="1">RANDBETWEEN(30,76)&amp;"%"</f>
        <v>38%</v>
      </c>
      <c r="Q863" s="18">
        <f>PRODUCT(K863,N863)</f>
        <v>10836</v>
      </c>
    </row>
    <row r="864" spans="1:17" x14ac:dyDescent="0.45">
      <c r="A864" s="6" t="s">
        <v>720</v>
      </c>
      <c r="B864" s="9" t="s">
        <v>717</v>
      </c>
      <c r="C864" s="6" t="s">
        <v>96</v>
      </c>
      <c r="D864" s="18">
        <f ca="1">RANDBETWEEN(500,1000)</f>
        <v>538</v>
      </c>
      <c r="E864" s="19">
        <v>45517</v>
      </c>
      <c r="F864" s="18">
        <v>40</v>
      </c>
      <c r="G864" s="20">
        <v>0.33</v>
      </c>
      <c r="H864" s="18">
        <f t="shared" ca="1" si="54"/>
        <v>53</v>
      </c>
      <c r="I864" s="18">
        <f t="shared" ca="1" si="55"/>
        <v>187</v>
      </c>
      <c r="J864" s="15">
        <f ca="1">K864-L864</f>
        <v>198.5</v>
      </c>
      <c r="K864" s="15">
        <v>236.5</v>
      </c>
      <c r="L864" s="15">
        <f ca="1">RANDBETWEEN(30,87)</f>
        <v>38</v>
      </c>
      <c r="M864" s="11">
        <f ca="1">(L864/J864)</f>
        <v>0.19143576826196473</v>
      </c>
      <c r="N864" s="18">
        <v>71</v>
      </c>
      <c r="O864" s="18" t="str">
        <f t="shared" ca="1" si="56"/>
        <v>Understocked</v>
      </c>
      <c r="P864" s="11" t="str">
        <f ca="1">RANDBETWEEN(30,76)&amp;"%"</f>
        <v>65%</v>
      </c>
      <c r="Q864" s="18">
        <f>PRODUCT(K864,N864)</f>
        <v>16791.5</v>
      </c>
    </row>
    <row r="865" spans="1:17" x14ac:dyDescent="0.45">
      <c r="A865" s="6" t="s">
        <v>721</v>
      </c>
      <c r="B865" s="9" t="s">
        <v>717</v>
      </c>
      <c r="C865" s="6" t="s">
        <v>96</v>
      </c>
      <c r="D865" s="18">
        <f ca="1">RANDBETWEEN(500,1000)</f>
        <v>796</v>
      </c>
      <c r="E865" s="19">
        <v>45395</v>
      </c>
      <c r="F865" s="18">
        <v>74</v>
      </c>
      <c r="G865" s="20">
        <v>0.6</v>
      </c>
      <c r="H865" s="18">
        <f t="shared" ca="1" si="54"/>
        <v>67</v>
      </c>
      <c r="I865" s="18">
        <f t="shared" ca="1" si="55"/>
        <v>164</v>
      </c>
      <c r="J865" s="15">
        <f ca="1">K865-L865</f>
        <v>645</v>
      </c>
      <c r="K865" s="15">
        <v>688</v>
      </c>
      <c r="L865" s="15">
        <f ca="1">RANDBETWEEN(30,87)</f>
        <v>43</v>
      </c>
      <c r="M865" s="11">
        <f ca="1">(L865/J865)</f>
        <v>6.6666666666666666E-2</v>
      </c>
      <c r="N865" s="18">
        <v>31</v>
      </c>
      <c r="O865" s="18" t="str">
        <f t="shared" ca="1" si="56"/>
        <v>Optimal</v>
      </c>
      <c r="P865" s="11" t="str">
        <f ca="1">RANDBETWEEN(30,76)&amp;"%"</f>
        <v>34%</v>
      </c>
      <c r="Q865" s="18">
        <f>PRODUCT(K865,N865)</f>
        <v>21328</v>
      </c>
    </row>
    <row r="866" spans="1:17" x14ac:dyDescent="0.45">
      <c r="A866" s="6" t="s">
        <v>722</v>
      </c>
      <c r="B866" s="9" t="s">
        <v>717</v>
      </c>
      <c r="C866" s="6" t="s">
        <v>96</v>
      </c>
      <c r="D866" s="18">
        <f ca="1">RANDBETWEEN(500,1000)</f>
        <v>767</v>
      </c>
      <c r="E866" s="19">
        <v>45424</v>
      </c>
      <c r="F866" s="18">
        <v>58</v>
      </c>
      <c r="G866" s="20">
        <v>0.55000000000000004</v>
      </c>
      <c r="H866" s="18">
        <f t="shared" ca="1" si="54"/>
        <v>64</v>
      </c>
      <c r="I866" s="18">
        <f t="shared" ca="1" si="55"/>
        <v>155</v>
      </c>
      <c r="J866" s="15">
        <f ca="1">K866-L866</f>
        <v>1237</v>
      </c>
      <c r="K866" s="15">
        <v>1290</v>
      </c>
      <c r="L866" s="15">
        <f ca="1">RANDBETWEEN(30,87)</f>
        <v>53</v>
      </c>
      <c r="M866" s="11">
        <f ca="1">(L866/J866)</f>
        <v>4.2845594179466449E-2</v>
      </c>
      <c r="N866" s="18">
        <v>82</v>
      </c>
      <c r="O866" s="18" t="str">
        <f t="shared" ca="1" si="56"/>
        <v>Understocked</v>
      </c>
      <c r="P866" s="11" t="str">
        <f ca="1">RANDBETWEEN(30,76)&amp;"%"</f>
        <v>62%</v>
      </c>
      <c r="Q866" s="18">
        <f>PRODUCT(K866,N866)</f>
        <v>105780</v>
      </c>
    </row>
    <row r="867" spans="1:17" x14ac:dyDescent="0.45">
      <c r="A867" s="6" t="s">
        <v>723</v>
      </c>
      <c r="B867" s="9" t="s">
        <v>717</v>
      </c>
      <c r="C867" s="6" t="s">
        <v>96</v>
      </c>
      <c r="D867" s="18">
        <f ca="1">RANDBETWEEN(500,1000)</f>
        <v>708</v>
      </c>
      <c r="E867" s="19">
        <v>45504</v>
      </c>
      <c r="F867" s="18">
        <v>43</v>
      </c>
      <c r="G867" s="20">
        <v>0.64</v>
      </c>
      <c r="H867" s="18">
        <f t="shared" ca="1" si="54"/>
        <v>55</v>
      </c>
      <c r="I867" s="18">
        <f t="shared" ca="1" si="55"/>
        <v>154</v>
      </c>
      <c r="J867" s="15">
        <f ca="1">K867-L867</f>
        <v>394</v>
      </c>
      <c r="K867" s="15">
        <v>430</v>
      </c>
      <c r="L867" s="15">
        <f ca="1">RANDBETWEEN(30,87)</f>
        <v>36</v>
      </c>
      <c r="M867" s="11">
        <f ca="1">(L867/J867)</f>
        <v>9.1370558375634514E-2</v>
      </c>
      <c r="N867" s="18">
        <v>33</v>
      </c>
      <c r="O867" s="18" t="str">
        <f t="shared" ca="1" si="56"/>
        <v>Understocked</v>
      </c>
      <c r="P867" s="11" t="str">
        <f ca="1">RANDBETWEEN(30,76)&amp;"%"</f>
        <v>70%</v>
      </c>
      <c r="Q867" s="18">
        <f>PRODUCT(K867,N867)</f>
        <v>14190</v>
      </c>
    </row>
    <row r="868" spans="1:17" x14ac:dyDescent="0.45">
      <c r="A868" s="6" t="s">
        <v>754</v>
      </c>
      <c r="B868" s="9" t="s">
        <v>755</v>
      </c>
      <c r="C868" s="6" t="s">
        <v>96</v>
      </c>
      <c r="D868" s="18">
        <f ca="1">RANDBETWEEN(500,1000)</f>
        <v>511</v>
      </c>
      <c r="E868" s="19">
        <v>45638</v>
      </c>
      <c r="F868" s="18">
        <v>38</v>
      </c>
      <c r="G868" s="20">
        <v>0.84</v>
      </c>
      <c r="H868" s="18">
        <f t="shared" ca="1" si="54"/>
        <v>77</v>
      </c>
      <c r="I868" s="18">
        <f t="shared" ca="1" si="55"/>
        <v>160</v>
      </c>
      <c r="J868" s="15">
        <f ca="1">K868-L868</f>
        <v>332</v>
      </c>
      <c r="K868" s="15">
        <v>387</v>
      </c>
      <c r="L868" s="15">
        <f ca="1">RANDBETWEEN(30,87)</f>
        <v>55</v>
      </c>
      <c r="M868" s="11">
        <f ca="1">(L868/J868)</f>
        <v>0.16566265060240964</v>
      </c>
      <c r="N868" s="18">
        <v>41</v>
      </c>
      <c r="O868" s="18" t="str">
        <f t="shared" ca="1" si="56"/>
        <v>Understocked</v>
      </c>
      <c r="P868" s="11" t="str">
        <f ca="1">RANDBETWEEN(30,76)&amp;"%"</f>
        <v>42%</v>
      </c>
      <c r="Q868" s="18">
        <f>PRODUCT(K868,N868)</f>
        <v>15867</v>
      </c>
    </row>
    <row r="869" spans="1:17" x14ac:dyDescent="0.45">
      <c r="A869" s="6" t="s">
        <v>757</v>
      </c>
      <c r="B869" s="9" t="s">
        <v>755</v>
      </c>
      <c r="C869" s="6" t="s">
        <v>96</v>
      </c>
      <c r="D869" s="18">
        <f ca="1">RANDBETWEEN(500,1000)</f>
        <v>857</v>
      </c>
      <c r="E869" s="19">
        <v>45459</v>
      </c>
      <c r="F869" s="18">
        <v>57</v>
      </c>
      <c r="G869" s="20">
        <v>0.83</v>
      </c>
      <c r="H869" s="18">
        <f t="shared" ca="1" si="54"/>
        <v>75</v>
      </c>
      <c r="I869" s="18">
        <f t="shared" ca="1" si="55"/>
        <v>166</v>
      </c>
      <c r="J869" s="15">
        <f ca="1">K869-L869</f>
        <v>395</v>
      </c>
      <c r="K869" s="15">
        <v>473</v>
      </c>
      <c r="L869" s="15">
        <f ca="1">RANDBETWEEN(30,87)</f>
        <v>78</v>
      </c>
      <c r="M869" s="11">
        <f ca="1">(L869/J869)</f>
        <v>0.19746835443037974</v>
      </c>
      <c r="N869" s="18">
        <v>56</v>
      </c>
      <c r="O869" s="18" t="str">
        <f t="shared" ca="1" si="56"/>
        <v>Understocked</v>
      </c>
      <c r="P869" s="11" t="str">
        <f ca="1">RANDBETWEEN(30,76)&amp;"%"</f>
        <v>42%</v>
      </c>
      <c r="Q869" s="18">
        <f>PRODUCT(K869,N869)</f>
        <v>26488</v>
      </c>
    </row>
    <row r="870" spans="1:17" x14ac:dyDescent="0.45">
      <c r="A870" s="6" t="s">
        <v>758</v>
      </c>
      <c r="B870" s="9" t="s">
        <v>755</v>
      </c>
      <c r="C870" s="6" t="s">
        <v>96</v>
      </c>
      <c r="D870" s="18">
        <f ca="1">RANDBETWEEN(500,1000)</f>
        <v>728</v>
      </c>
      <c r="E870" s="19">
        <v>45576</v>
      </c>
      <c r="F870" s="18">
        <v>64</v>
      </c>
      <c r="G870" s="20">
        <v>0.56000000000000005</v>
      </c>
      <c r="H870" s="18">
        <f t="shared" ca="1" si="54"/>
        <v>57</v>
      </c>
      <c r="I870" s="18">
        <f t="shared" ca="1" si="55"/>
        <v>129</v>
      </c>
      <c r="J870" s="15">
        <f ca="1">K870-L870</f>
        <v>319</v>
      </c>
      <c r="K870" s="15">
        <v>387</v>
      </c>
      <c r="L870" s="15">
        <f ca="1">RANDBETWEEN(30,87)</f>
        <v>68</v>
      </c>
      <c r="M870" s="11">
        <f ca="1">(L870/J870)</f>
        <v>0.21316614420062696</v>
      </c>
      <c r="N870" s="18">
        <v>51</v>
      </c>
      <c r="O870" s="18" t="str">
        <f t="shared" ca="1" si="56"/>
        <v>Optimal</v>
      </c>
      <c r="P870" s="11" t="str">
        <f ca="1">RANDBETWEEN(30,76)&amp;"%"</f>
        <v>47%</v>
      </c>
      <c r="Q870" s="18">
        <f>PRODUCT(K870,N870)</f>
        <v>19737</v>
      </c>
    </row>
    <row r="871" spans="1:17" x14ac:dyDescent="0.45">
      <c r="A871" s="6" t="s">
        <v>759</v>
      </c>
      <c r="B871" s="9" t="s">
        <v>755</v>
      </c>
      <c r="C871" s="6" t="s">
        <v>96</v>
      </c>
      <c r="D871" s="18">
        <f ca="1">RANDBETWEEN(500,1000)</f>
        <v>835</v>
      </c>
      <c r="E871" s="19">
        <v>45381</v>
      </c>
      <c r="F871" s="18">
        <v>24</v>
      </c>
      <c r="G871" s="20">
        <v>0.6</v>
      </c>
      <c r="H871" s="18">
        <f t="shared" ca="1" si="54"/>
        <v>66</v>
      </c>
      <c r="I871" s="18">
        <f t="shared" ca="1" si="55"/>
        <v>99</v>
      </c>
      <c r="J871" s="15">
        <f ca="1">K871-L871</f>
        <v>394</v>
      </c>
      <c r="K871" s="15">
        <v>430</v>
      </c>
      <c r="L871" s="15">
        <f ca="1">RANDBETWEEN(30,87)</f>
        <v>36</v>
      </c>
      <c r="M871" s="11">
        <f ca="1">(L871/J871)</f>
        <v>9.1370558375634514E-2</v>
      </c>
      <c r="N871" s="18">
        <v>98</v>
      </c>
      <c r="O871" s="18" t="str">
        <f t="shared" ca="1" si="56"/>
        <v>Understocked</v>
      </c>
      <c r="P871" s="11" t="str">
        <f ca="1">RANDBETWEEN(30,76)&amp;"%"</f>
        <v>45%</v>
      </c>
      <c r="Q871" s="18">
        <f>PRODUCT(K871,N871)</f>
        <v>42140</v>
      </c>
    </row>
    <row r="872" spans="1:17" x14ac:dyDescent="0.45">
      <c r="A872" s="6" t="s">
        <v>760</v>
      </c>
      <c r="B872" s="9" t="s">
        <v>755</v>
      </c>
      <c r="C872" s="6" t="s">
        <v>96</v>
      </c>
      <c r="D872" s="18">
        <f ca="1">RANDBETWEEN(500,1000)</f>
        <v>969</v>
      </c>
      <c r="E872" s="19">
        <v>45545</v>
      </c>
      <c r="F872" s="18">
        <v>21</v>
      </c>
      <c r="G872" s="20">
        <v>0.31</v>
      </c>
      <c r="H872" s="18">
        <f t="shared" ca="1" si="54"/>
        <v>52</v>
      </c>
      <c r="I872" s="18">
        <f t="shared" ca="1" si="55"/>
        <v>83</v>
      </c>
      <c r="J872" s="15">
        <f ca="1">K872-L872</f>
        <v>223</v>
      </c>
      <c r="K872" s="15">
        <v>258</v>
      </c>
      <c r="L872" s="15">
        <f ca="1">RANDBETWEEN(30,87)</f>
        <v>35</v>
      </c>
      <c r="M872" s="11">
        <f ca="1">(L872/J872)</f>
        <v>0.15695067264573992</v>
      </c>
      <c r="N872" s="18">
        <v>79</v>
      </c>
      <c r="O872" s="18" t="str">
        <f t="shared" ca="1" si="56"/>
        <v>Understocked</v>
      </c>
      <c r="P872" s="11" t="str">
        <f ca="1">RANDBETWEEN(30,76)&amp;"%"</f>
        <v>55%</v>
      </c>
      <c r="Q872" s="18">
        <f>PRODUCT(K872,N872)</f>
        <v>20382</v>
      </c>
    </row>
    <row r="873" spans="1:17" x14ac:dyDescent="0.45">
      <c r="A873" s="6" t="s">
        <v>761</v>
      </c>
      <c r="B873" s="9" t="s">
        <v>755</v>
      </c>
      <c r="C873" s="6" t="s">
        <v>96</v>
      </c>
      <c r="D873" s="18">
        <f ca="1">RANDBETWEEN(500,1000)</f>
        <v>630</v>
      </c>
      <c r="E873" s="19">
        <v>45682</v>
      </c>
      <c r="F873" s="18">
        <v>79</v>
      </c>
      <c r="G873" s="20">
        <v>0.41</v>
      </c>
      <c r="H873" s="18">
        <f t="shared" ca="1" si="54"/>
        <v>70</v>
      </c>
      <c r="I873" s="18">
        <f t="shared" ca="1" si="55"/>
        <v>184</v>
      </c>
      <c r="J873" s="15">
        <f ca="1">K873-L873</f>
        <v>297</v>
      </c>
      <c r="K873" s="15">
        <v>344</v>
      </c>
      <c r="L873" s="15">
        <f ca="1">RANDBETWEEN(30,87)</f>
        <v>47</v>
      </c>
      <c r="M873" s="11">
        <f ca="1">(L873/J873)</f>
        <v>0.15824915824915825</v>
      </c>
      <c r="N873" s="18">
        <v>46</v>
      </c>
      <c r="O873" s="18" t="str">
        <f t="shared" ca="1" si="56"/>
        <v>Optimal</v>
      </c>
      <c r="P873" s="11" t="str">
        <f ca="1">RANDBETWEEN(30,76)&amp;"%"</f>
        <v>57%</v>
      </c>
      <c r="Q873" s="18">
        <f>PRODUCT(K873,N873)</f>
        <v>15824</v>
      </c>
    </row>
    <row r="874" spans="1:17" x14ac:dyDescent="0.45">
      <c r="A874" s="6" t="s">
        <v>762</v>
      </c>
      <c r="B874" s="9" t="s">
        <v>755</v>
      </c>
      <c r="C874" s="6" t="s">
        <v>96</v>
      </c>
      <c r="D874" s="18">
        <f ca="1">RANDBETWEEN(500,1000)</f>
        <v>868</v>
      </c>
      <c r="E874" s="19">
        <v>45673</v>
      </c>
      <c r="F874" s="18">
        <v>60</v>
      </c>
      <c r="G874" s="20">
        <v>0.75</v>
      </c>
      <c r="H874" s="18">
        <f t="shared" ca="1" si="54"/>
        <v>73</v>
      </c>
      <c r="I874" s="18">
        <f t="shared" ca="1" si="55"/>
        <v>90</v>
      </c>
      <c r="J874" s="15">
        <f ca="1">K874-L874</f>
        <v>171</v>
      </c>
      <c r="K874" s="15">
        <v>215</v>
      </c>
      <c r="L874" s="15">
        <f ca="1">RANDBETWEEN(30,87)</f>
        <v>44</v>
      </c>
      <c r="M874" s="11">
        <f ca="1">(L874/J874)</f>
        <v>0.25730994152046782</v>
      </c>
      <c r="N874" s="18">
        <v>94</v>
      </c>
      <c r="O874" s="18" t="str">
        <f t="shared" ca="1" si="56"/>
        <v>Understocked</v>
      </c>
      <c r="P874" s="11" t="str">
        <f ca="1">RANDBETWEEN(30,76)&amp;"%"</f>
        <v>43%</v>
      </c>
      <c r="Q874" s="18">
        <f>PRODUCT(K874,N874)</f>
        <v>20210</v>
      </c>
    </row>
    <row r="875" spans="1:17" x14ac:dyDescent="0.45">
      <c r="A875" s="6" t="s">
        <v>763</v>
      </c>
      <c r="B875" s="9" t="s">
        <v>755</v>
      </c>
      <c r="C875" s="6" t="s">
        <v>96</v>
      </c>
      <c r="D875" s="18">
        <f ca="1">RANDBETWEEN(500,1000)</f>
        <v>971</v>
      </c>
      <c r="E875" s="19">
        <v>45626</v>
      </c>
      <c r="F875" s="18">
        <v>49</v>
      </c>
      <c r="G875" s="20">
        <v>0.78</v>
      </c>
      <c r="H875" s="18">
        <f t="shared" ca="1" si="54"/>
        <v>67</v>
      </c>
      <c r="I875" s="18">
        <f t="shared" ca="1" si="55"/>
        <v>187</v>
      </c>
      <c r="J875" s="15">
        <f ca="1">K875-L875</f>
        <v>224</v>
      </c>
      <c r="K875" s="15">
        <v>258</v>
      </c>
      <c r="L875" s="15">
        <f ca="1">RANDBETWEEN(30,87)</f>
        <v>34</v>
      </c>
      <c r="M875" s="11">
        <f ca="1">(L875/J875)</f>
        <v>0.15178571428571427</v>
      </c>
      <c r="N875" s="18">
        <v>45</v>
      </c>
      <c r="O875" s="18" t="str">
        <f t="shared" ca="1" si="56"/>
        <v>Understocked</v>
      </c>
      <c r="P875" s="11" t="str">
        <f ca="1">RANDBETWEEN(30,76)&amp;"%"</f>
        <v>40%</v>
      </c>
      <c r="Q875" s="18">
        <f>PRODUCT(K875,N875)</f>
        <v>11610</v>
      </c>
    </row>
    <row r="876" spans="1:17" x14ac:dyDescent="0.45">
      <c r="A876" s="6" t="s">
        <v>894</v>
      </c>
      <c r="B876" s="9" t="s">
        <v>895</v>
      </c>
      <c r="C876" s="6" t="s">
        <v>96</v>
      </c>
      <c r="D876" s="18">
        <f ca="1">RANDBETWEEN(500,1000)</f>
        <v>865</v>
      </c>
      <c r="E876" s="19">
        <v>45387</v>
      </c>
      <c r="F876" s="18">
        <v>45</v>
      </c>
      <c r="G876" s="20">
        <v>0.85</v>
      </c>
      <c r="H876" s="18">
        <f t="shared" ca="1" si="54"/>
        <v>76</v>
      </c>
      <c r="I876" s="18">
        <f t="shared" ca="1" si="55"/>
        <v>189</v>
      </c>
      <c r="J876" s="15">
        <f ca="1">K876-L876</f>
        <v>1244</v>
      </c>
      <c r="K876" s="15">
        <v>1290</v>
      </c>
      <c r="L876" s="15">
        <f ca="1">RANDBETWEEN(30,87)</f>
        <v>46</v>
      </c>
      <c r="M876" s="11">
        <f ca="1">(L876/J876)</f>
        <v>3.6977491961414789E-2</v>
      </c>
      <c r="N876" s="18">
        <v>86</v>
      </c>
      <c r="O876" s="18" t="str">
        <f t="shared" ca="1" si="56"/>
        <v>Understocked</v>
      </c>
      <c r="P876" s="11" t="str">
        <f ca="1">RANDBETWEEN(30,76)&amp;"%"</f>
        <v>68%</v>
      </c>
      <c r="Q876" s="18">
        <f>PRODUCT(K876,N876)</f>
        <v>110940</v>
      </c>
    </row>
    <row r="877" spans="1:17" x14ac:dyDescent="0.45">
      <c r="A877" s="6" t="s">
        <v>896</v>
      </c>
      <c r="B877" s="9" t="s">
        <v>895</v>
      </c>
      <c r="C877" s="6" t="s">
        <v>96</v>
      </c>
      <c r="D877" s="18">
        <f ca="1">RANDBETWEEN(500,1000)</f>
        <v>634</v>
      </c>
      <c r="E877" s="19">
        <v>45394</v>
      </c>
      <c r="F877" s="18">
        <v>100</v>
      </c>
      <c r="G877" s="20">
        <v>0.86</v>
      </c>
      <c r="H877" s="18">
        <f t="shared" ca="1" si="54"/>
        <v>55</v>
      </c>
      <c r="I877" s="18">
        <f t="shared" ca="1" si="55"/>
        <v>80</v>
      </c>
      <c r="J877" s="15">
        <f ca="1">K877-L877</f>
        <v>283</v>
      </c>
      <c r="K877" s="15">
        <v>344</v>
      </c>
      <c r="L877" s="15">
        <f ca="1">RANDBETWEEN(30,87)</f>
        <v>61</v>
      </c>
      <c r="M877" s="11">
        <f ca="1">(L877/J877)</f>
        <v>0.21554770318021202</v>
      </c>
      <c r="N877" s="18">
        <v>77</v>
      </c>
      <c r="O877" s="18" t="str">
        <f t="shared" ca="1" si="56"/>
        <v>Optimal</v>
      </c>
      <c r="P877" s="11" t="str">
        <f ca="1">RANDBETWEEN(30,76)&amp;"%"</f>
        <v>76%</v>
      </c>
      <c r="Q877" s="18">
        <f>PRODUCT(K877,N877)</f>
        <v>26488</v>
      </c>
    </row>
    <row r="878" spans="1:17" x14ac:dyDescent="0.45">
      <c r="A878" s="6" t="s">
        <v>897</v>
      </c>
      <c r="B878" s="9" t="s">
        <v>895</v>
      </c>
      <c r="C878" s="6" t="s">
        <v>96</v>
      </c>
      <c r="D878" s="18">
        <f ca="1">RANDBETWEEN(500,1000)</f>
        <v>827</v>
      </c>
      <c r="E878" s="19">
        <v>45516</v>
      </c>
      <c r="F878" s="18">
        <v>50</v>
      </c>
      <c r="G878" s="20">
        <v>0.45</v>
      </c>
      <c r="H878" s="18">
        <f t="shared" ca="1" si="54"/>
        <v>72</v>
      </c>
      <c r="I878" s="18">
        <f t="shared" ca="1" si="55"/>
        <v>149</v>
      </c>
      <c r="J878" s="15">
        <f ca="1">K878-L878</f>
        <v>208</v>
      </c>
      <c r="K878" s="15">
        <v>258</v>
      </c>
      <c r="L878" s="15">
        <f ca="1">RANDBETWEEN(30,87)</f>
        <v>50</v>
      </c>
      <c r="M878" s="11">
        <f ca="1">(L878/J878)</f>
        <v>0.24038461538461539</v>
      </c>
      <c r="N878" s="18">
        <v>53</v>
      </c>
      <c r="O878" s="18" t="str">
        <f t="shared" ca="1" si="56"/>
        <v>Understocked</v>
      </c>
      <c r="P878" s="11" t="str">
        <f ca="1">RANDBETWEEN(30,76)&amp;"%"</f>
        <v>38%</v>
      </c>
      <c r="Q878" s="18">
        <f>PRODUCT(K878,N878)</f>
        <v>13674</v>
      </c>
    </row>
    <row r="879" spans="1:17" x14ac:dyDescent="0.45">
      <c r="A879" s="6" t="s">
        <v>898</v>
      </c>
      <c r="B879" s="9" t="s">
        <v>895</v>
      </c>
      <c r="C879" s="6" t="s">
        <v>96</v>
      </c>
      <c r="D879" s="18">
        <f ca="1">RANDBETWEEN(500,1000)</f>
        <v>959</v>
      </c>
      <c r="E879" s="19">
        <v>45615</v>
      </c>
      <c r="F879" s="18">
        <v>89</v>
      </c>
      <c r="G879" s="20">
        <v>0.7</v>
      </c>
      <c r="H879" s="18">
        <f t="shared" ca="1" si="54"/>
        <v>64</v>
      </c>
      <c r="I879" s="18">
        <f t="shared" ca="1" si="55"/>
        <v>158</v>
      </c>
      <c r="J879" s="15">
        <f ca="1">K879-L879</f>
        <v>300</v>
      </c>
      <c r="K879" s="15">
        <v>344</v>
      </c>
      <c r="L879" s="15">
        <f ca="1">RANDBETWEEN(30,87)</f>
        <v>44</v>
      </c>
      <c r="M879" s="11">
        <f ca="1">(L879/J879)</f>
        <v>0.14666666666666667</v>
      </c>
      <c r="N879" s="18">
        <v>39</v>
      </c>
      <c r="O879" s="18" t="str">
        <f t="shared" ca="1" si="56"/>
        <v>Optimal</v>
      </c>
      <c r="P879" s="11" t="str">
        <f ca="1">RANDBETWEEN(30,76)&amp;"%"</f>
        <v>69%</v>
      </c>
      <c r="Q879" s="18">
        <f>PRODUCT(K879,N879)</f>
        <v>13416</v>
      </c>
    </row>
    <row r="880" spans="1:17" x14ac:dyDescent="0.45">
      <c r="A880" s="6" t="s">
        <v>899</v>
      </c>
      <c r="B880" s="9" t="s">
        <v>895</v>
      </c>
      <c r="C880" s="6" t="s">
        <v>96</v>
      </c>
      <c r="D880" s="18">
        <f ca="1">RANDBETWEEN(500,1000)</f>
        <v>528</v>
      </c>
      <c r="E880" s="19">
        <v>45695</v>
      </c>
      <c r="F880" s="18">
        <v>14</v>
      </c>
      <c r="G880" s="20">
        <v>0.7</v>
      </c>
      <c r="H880" s="18">
        <f t="shared" ca="1" si="54"/>
        <v>50</v>
      </c>
      <c r="I880" s="18">
        <f t="shared" ca="1" si="55"/>
        <v>141</v>
      </c>
      <c r="J880" s="15">
        <f ca="1">K880-L880</f>
        <v>339</v>
      </c>
      <c r="K880" s="15">
        <v>387</v>
      </c>
      <c r="L880" s="15">
        <f ca="1">RANDBETWEEN(30,87)</f>
        <v>48</v>
      </c>
      <c r="M880" s="11">
        <f ca="1">(L880/J880)</f>
        <v>0.1415929203539823</v>
      </c>
      <c r="N880" s="18">
        <v>51</v>
      </c>
      <c r="O880" s="18" t="str">
        <f t="shared" ca="1" si="56"/>
        <v>Understocked</v>
      </c>
      <c r="P880" s="11" t="str">
        <f ca="1">RANDBETWEEN(30,76)&amp;"%"</f>
        <v>66%</v>
      </c>
      <c r="Q880" s="18">
        <f>PRODUCT(K880,N880)</f>
        <v>19737</v>
      </c>
    </row>
    <row r="881" spans="1:17" x14ac:dyDescent="0.45">
      <c r="A881" s="6" t="s">
        <v>900</v>
      </c>
      <c r="B881" s="9" t="s">
        <v>895</v>
      </c>
      <c r="C881" s="6" t="s">
        <v>96</v>
      </c>
      <c r="D881" s="18">
        <f ca="1">RANDBETWEEN(500,1000)</f>
        <v>808</v>
      </c>
      <c r="E881" s="19">
        <v>45584</v>
      </c>
      <c r="F881" s="18">
        <v>39</v>
      </c>
      <c r="G881" s="20">
        <v>0.36</v>
      </c>
      <c r="H881" s="18">
        <f t="shared" ca="1" si="54"/>
        <v>51</v>
      </c>
      <c r="I881" s="18">
        <f t="shared" ca="1" si="55"/>
        <v>156</v>
      </c>
      <c r="J881" s="15">
        <f ca="1">K881-L881</f>
        <v>162</v>
      </c>
      <c r="K881" s="15">
        <v>215</v>
      </c>
      <c r="L881" s="15">
        <f ca="1">RANDBETWEEN(30,87)</f>
        <v>53</v>
      </c>
      <c r="M881" s="11">
        <f ca="1">(L881/J881)</f>
        <v>0.3271604938271605</v>
      </c>
      <c r="N881" s="18">
        <v>54</v>
      </c>
      <c r="O881" s="18" t="str">
        <f t="shared" ca="1" si="56"/>
        <v>Understocked</v>
      </c>
      <c r="P881" s="11" t="str">
        <f ca="1">RANDBETWEEN(30,76)&amp;"%"</f>
        <v>72%</v>
      </c>
      <c r="Q881" s="18">
        <f>PRODUCT(K881,N881)</f>
        <v>11610</v>
      </c>
    </row>
    <row r="882" spans="1:17" x14ac:dyDescent="0.45">
      <c r="A882" s="6" t="s">
        <v>901</v>
      </c>
      <c r="B882" s="9" t="s">
        <v>895</v>
      </c>
      <c r="C882" s="6" t="s">
        <v>96</v>
      </c>
      <c r="D882" s="18">
        <f ca="1">RANDBETWEEN(500,1000)</f>
        <v>665</v>
      </c>
      <c r="E882" s="19">
        <v>45584</v>
      </c>
      <c r="F882" s="18">
        <v>77</v>
      </c>
      <c r="G882" s="20">
        <v>0.74</v>
      </c>
      <c r="H882" s="18">
        <f t="shared" ca="1" si="54"/>
        <v>78</v>
      </c>
      <c r="I882" s="18">
        <f t="shared" ca="1" si="55"/>
        <v>193</v>
      </c>
      <c r="J882" s="15">
        <f ca="1">K882-L882</f>
        <v>358</v>
      </c>
      <c r="K882" s="15">
        <v>430</v>
      </c>
      <c r="L882" s="15">
        <f ca="1">RANDBETWEEN(30,87)</f>
        <v>72</v>
      </c>
      <c r="M882" s="11">
        <f ca="1">(L882/J882)</f>
        <v>0.2011173184357542</v>
      </c>
      <c r="N882" s="18">
        <v>29</v>
      </c>
      <c r="O882" s="18" t="str">
        <f t="shared" ca="1" si="56"/>
        <v>Understocked</v>
      </c>
      <c r="P882" s="11" t="str">
        <f ca="1">RANDBETWEEN(30,76)&amp;"%"</f>
        <v>76%</v>
      </c>
      <c r="Q882" s="18">
        <f>PRODUCT(K882,N882)</f>
        <v>12470</v>
      </c>
    </row>
    <row r="883" spans="1:17" x14ac:dyDescent="0.45">
      <c r="A883" s="6" t="s">
        <v>902</v>
      </c>
      <c r="B883" s="9" t="s">
        <v>895</v>
      </c>
      <c r="C883" s="6" t="s">
        <v>96</v>
      </c>
      <c r="D883" s="18">
        <f ca="1">RANDBETWEEN(500,1000)</f>
        <v>626</v>
      </c>
      <c r="E883" s="19">
        <v>45584</v>
      </c>
      <c r="F883" s="18">
        <v>27</v>
      </c>
      <c r="G883" s="20">
        <v>0.76</v>
      </c>
      <c r="H883" s="18">
        <f t="shared" ca="1" si="54"/>
        <v>52</v>
      </c>
      <c r="I883" s="18">
        <f t="shared" ca="1" si="55"/>
        <v>102</v>
      </c>
      <c r="J883" s="15">
        <f ca="1">K883-L883</f>
        <v>100</v>
      </c>
      <c r="K883" s="15">
        <v>172</v>
      </c>
      <c r="L883" s="15">
        <f ca="1">RANDBETWEEN(30,87)</f>
        <v>72</v>
      </c>
      <c r="M883" s="11">
        <f ca="1">(L883/J883)</f>
        <v>0.72</v>
      </c>
      <c r="N883" s="18">
        <v>29</v>
      </c>
      <c r="O883" s="18" t="str">
        <f t="shared" ca="1" si="56"/>
        <v>Understocked</v>
      </c>
      <c r="P883" s="11" t="str">
        <f ca="1">RANDBETWEEN(30,76)&amp;"%"</f>
        <v>46%</v>
      </c>
      <c r="Q883" s="18">
        <f>PRODUCT(K883,N883)</f>
        <v>4988</v>
      </c>
    </row>
    <row r="884" spans="1:17" x14ac:dyDescent="0.45">
      <c r="A884" s="6" t="s">
        <v>903</v>
      </c>
      <c r="B884" s="9" t="s">
        <v>895</v>
      </c>
      <c r="C884" s="6" t="s">
        <v>96</v>
      </c>
      <c r="D884" s="18">
        <f ca="1">RANDBETWEEN(500,1000)</f>
        <v>784</v>
      </c>
      <c r="E884" s="19">
        <v>45707</v>
      </c>
      <c r="F884" s="18">
        <v>85</v>
      </c>
      <c r="G884" s="20">
        <v>0.38</v>
      </c>
      <c r="H884" s="18">
        <f t="shared" ca="1" si="54"/>
        <v>74</v>
      </c>
      <c r="I884" s="18">
        <f t="shared" ca="1" si="55"/>
        <v>148</v>
      </c>
      <c r="J884" s="15">
        <f ca="1">K884-L884</f>
        <v>174</v>
      </c>
      <c r="K884" s="15">
        <v>215</v>
      </c>
      <c r="L884" s="15">
        <f ca="1">RANDBETWEEN(30,87)</f>
        <v>41</v>
      </c>
      <c r="M884" s="11">
        <f ca="1">(L884/J884)</f>
        <v>0.23563218390804597</v>
      </c>
      <c r="N884" s="18">
        <v>46</v>
      </c>
      <c r="O884" s="18" t="str">
        <f t="shared" ca="1" si="56"/>
        <v>Optimal</v>
      </c>
      <c r="P884" s="11" t="str">
        <f ca="1">RANDBETWEEN(30,76)&amp;"%"</f>
        <v>32%</v>
      </c>
      <c r="Q884" s="18">
        <f>PRODUCT(K884,N884)</f>
        <v>9890</v>
      </c>
    </row>
    <row r="885" spans="1:17" x14ac:dyDescent="0.45">
      <c r="A885" s="6" t="s">
        <v>904</v>
      </c>
      <c r="B885" s="9" t="s">
        <v>895</v>
      </c>
      <c r="C885" s="6" t="s">
        <v>96</v>
      </c>
      <c r="D885" s="18">
        <f ca="1">RANDBETWEEN(500,1000)</f>
        <v>893</v>
      </c>
      <c r="E885" s="19">
        <v>45602</v>
      </c>
      <c r="F885" s="18">
        <v>97</v>
      </c>
      <c r="G885" s="20">
        <v>0.88</v>
      </c>
      <c r="H885" s="18">
        <f t="shared" ca="1" si="54"/>
        <v>68</v>
      </c>
      <c r="I885" s="18">
        <f t="shared" ca="1" si="55"/>
        <v>149</v>
      </c>
      <c r="J885" s="15">
        <f ca="1">K885-L885</f>
        <v>177</v>
      </c>
      <c r="K885" s="15">
        <v>215</v>
      </c>
      <c r="L885" s="15">
        <f ca="1">RANDBETWEEN(30,87)</f>
        <v>38</v>
      </c>
      <c r="M885" s="11">
        <f ca="1">(L885/J885)</f>
        <v>0.21468926553672316</v>
      </c>
      <c r="N885" s="18">
        <v>51</v>
      </c>
      <c r="O885" s="18" t="str">
        <f t="shared" ca="1" si="56"/>
        <v>Optimal</v>
      </c>
      <c r="P885" s="11" t="str">
        <f ca="1">RANDBETWEEN(30,76)&amp;"%"</f>
        <v>48%</v>
      </c>
      <c r="Q885" s="18">
        <f>PRODUCT(K885,N885)</f>
        <v>10965</v>
      </c>
    </row>
    <row r="886" spans="1:17" x14ac:dyDescent="0.45">
      <c r="A886" s="6" t="s">
        <v>905</v>
      </c>
      <c r="B886" s="9" t="s">
        <v>895</v>
      </c>
      <c r="C886" s="6" t="s">
        <v>96</v>
      </c>
      <c r="D886" s="18">
        <f ca="1">RANDBETWEEN(500,1000)</f>
        <v>909</v>
      </c>
      <c r="E886" s="19">
        <v>45497</v>
      </c>
      <c r="F886" s="18">
        <v>85</v>
      </c>
      <c r="G886" s="20">
        <v>0.82</v>
      </c>
      <c r="H886" s="18">
        <f t="shared" ca="1" si="54"/>
        <v>50</v>
      </c>
      <c r="I886" s="18">
        <f t="shared" ca="1" si="55"/>
        <v>188</v>
      </c>
      <c r="J886" s="15">
        <f ca="1">K886-L886</f>
        <v>225</v>
      </c>
      <c r="K886" s="15">
        <v>301</v>
      </c>
      <c r="L886" s="15">
        <f ca="1">RANDBETWEEN(30,87)</f>
        <v>76</v>
      </c>
      <c r="M886" s="11">
        <f ca="1">(L886/J886)</f>
        <v>0.33777777777777779</v>
      </c>
      <c r="N886" s="18">
        <v>78</v>
      </c>
      <c r="O886" s="18" t="str">
        <f t="shared" ca="1" si="56"/>
        <v>Optimal</v>
      </c>
      <c r="P886" s="11" t="str">
        <f ca="1">RANDBETWEEN(30,76)&amp;"%"</f>
        <v>56%</v>
      </c>
      <c r="Q886" s="18">
        <f>PRODUCT(K886,N886)</f>
        <v>23478</v>
      </c>
    </row>
    <row r="887" spans="1:17" x14ac:dyDescent="0.45">
      <c r="A887" s="6" t="s">
        <v>906</v>
      </c>
      <c r="B887" s="9" t="s">
        <v>895</v>
      </c>
      <c r="C887" s="6" t="s">
        <v>96</v>
      </c>
      <c r="D887" s="18">
        <f ca="1">RANDBETWEEN(500,1000)</f>
        <v>675</v>
      </c>
      <c r="E887" s="19">
        <v>45669</v>
      </c>
      <c r="F887" s="18">
        <v>15</v>
      </c>
      <c r="G887" s="20">
        <v>0.69</v>
      </c>
      <c r="H887" s="18">
        <f t="shared" ca="1" si="54"/>
        <v>57</v>
      </c>
      <c r="I887" s="18">
        <f t="shared" ca="1" si="55"/>
        <v>91</v>
      </c>
      <c r="J887" s="15">
        <f ca="1">K887-L887</f>
        <v>92.5</v>
      </c>
      <c r="K887" s="15">
        <v>150.5</v>
      </c>
      <c r="L887" s="15">
        <f ca="1">RANDBETWEEN(30,87)</f>
        <v>58</v>
      </c>
      <c r="M887" s="11">
        <f ca="1">(L887/J887)</f>
        <v>0.62702702702702706</v>
      </c>
      <c r="N887" s="18">
        <v>49</v>
      </c>
      <c r="O887" s="18" t="str">
        <f t="shared" ca="1" si="56"/>
        <v>Understocked</v>
      </c>
      <c r="P887" s="11" t="str">
        <f ca="1">RANDBETWEEN(30,76)&amp;"%"</f>
        <v>37%</v>
      </c>
      <c r="Q887" s="18">
        <f>PRODUCT(K887,N887)</f>
        <v>7374.5</v>
      </c>
    </row>
    <row r="888" spans="1:17" x14ac:dyDescent="0.45">
      <c r="A888" s="6" t="s">
        <v>948</v>
      </c>
      <c r="B888" s="9" t="s">
        <v>949</v>
      </c>
      <c r="C888" s="6" t="s">
        <v>96</v>
      </c>
      <c r="D888" s="18">
        <f ca="1">RANDBETWEEN(500,1000)</f>
        <v>898</v>
      </c>
      <c r="E888" s="19">
        <v>45467</v>
      </c>
      <c r="F888" s="18">
        <v>24</v>
      </c>
      <c r="G888" s="20">
        <v>0.87</v>
      </c>
      <c r="H888" s="18">
        <f t="shared" ca="1" si="54"/>
        <v>63</v>
      </c>
      <c r="I888" s="18">
        <f t="shared" ca="1" si="55"/>
        <v>158</v>
      </c>
      <c r="J888" s="15">
        <f ca="1">K888-L888</f>
        <v>791</v>
      </c>
      <c r="K888" s="15">
        <v>860</v>
      </c>
      <c r="L888" s="15">
        <f ca="1">RANDBETWEEN(30,87)</f>
        <v>69</v>
      </c>
      <c r="M888" s="11">
        <f ca="1">(L888/J888)</f>
        <v>8.7231352718078387E-2</v>
      </c>
      <c r="N888" s="18">
        <v>91</v>
      </c>
      <c r="O888" s="18" t="str">
        <f t="shared" ca="1" si="56"/>
        <v>Understocked</v>
      </c>
      <c r="P888" s="11" t="str">
        <f ca="1">RANDBETWEEN(30,76)&amp;"%"</f>
        <v>72%</v>
      </c>
      <c r="Q888" s="18">
        <f>PRODUCT(K888,N888)</f>
        <v>78260</v>
      </c>
    </row>
    <row r="889" spans="1:17" x14ac:dyDescent="0.45">
      <c r="A889" s="6" t="s">
        <v>950</v>
      </c>
      <c r="B889" s="9" t="s">
        <v>949</v>
      </c>
      <c r="C889" s="6" t="s">
        <v>96</v>
      </c>
      <c r="D889" s="18">
        <f ca="1">RANDBETWEEN(500,1000)</f>
        <v>548</v>
      </c>
      <c r="E889" s="19">
        <v>45596</v>
      </c>
      <c r="F889" s="18">
        <v>23</v>
      </c>
      <c r="G889" s="20">
        <v>0.46</v>
      </c>
      <c r="H889" s="18">
        <f t="shared" ca="1" si="54"/>
        <v>61</v>
      </c>
      <c r="I889" s="18">
        <f t="shared" ca="1" si="55"/>
        <v>171</v>
      </c>
      <c r="J889" s="15">
        <f ca="1">K889-L889</f>
        <v>795</v>
      </c>
      <c r="K889" s="15">
        <v>860</v>
      </c>
      <c r="L889" s="15">
        <f ca="1">RANDBETWEEN(30,87)</f>
        <v>65</v>
      </c>
      <c r="M889" s="11">
        <f ca="1">(L889/J889)</f>
        <v>8.1761006289308172E-2</v>
      </c>
      <c r="N889" s="18">
        <v>91</v>
      </c>
      <c r="O889" s="18" t="str">
        <f t="shared" ca="1" si="56"/>
        <v>Understocked</v>
      </c>
      <c r="P889" s="11" t="str">
        <f ca="1">RANDBETWEEN(30,76)&amp;"%"</f>
        <v>68%</v>
      </c>
      <c r="Q889" s="18">
        <f>PRODUCT(K889,N889)</f>
        <v>78260</v>
      </c>
    </row>
    <row r="890" spans="1:17" x14ac:dyDescent="0.45">
      <c r="A890" s="6" t="s">
        <v>951</v>
      </c>
      <c r="B890" s="9" t="s">
        <v>949</v>
      </c>
      <c r="C890" s="6" t="s">
        <v>96</v>
      </c>
      <c r="D890" s="18">
        <f ca="1">RANDBETWEEN(500,1000)</f>
        <v>888</v>
      </c>
      <c r="E890" s="19">
        <v>45639</v>
      </c>
      <c r="F890" s="18">
        <v>87</v>
      </c>
      <c r="G890" s="20">
        <v>0.83</v>
      </c>
      <c r="H890" s="18">
        <f t="shared" ca="1" si="54"/>
        <v>67</v>
      </c>
      <c r="I890" s="18">
        <f t="shared" ca="1" si="55"/>
        <v>76</v>
      </c>
      <c r="J890" s="15">
        <f ca="1">K890-L890</f>
        <v>313</v>
      </c>
      <c r="K890" s="15">
        <v>344</v>
      </c>
      <c r="L890" s="15">
        <f ca="1">RANDBETWEEN(30,87)</f>
        <v>31</v>
      </c>
      <c r="M890" s="11">
        <f ca="1">(L890/J890)</f>
        <v>9.9041533546325874E-2</v>
      </c>
      <c r="N890" s="18">
        <v>83</v>
      </c>
      <c r="O890" s="18" t="str">
        <f t="shared" ca="1" si="56"/>
        <v>Optimal</v>
      </c>
      <c r="P890" s="11" t="str">
        <f ca="1">RANDBETWEEN(30,76)&amp;"%"</f>
        <v>45%</v>
      </c>
      <c r="Q890" s="18">
        <f>PRODUCT(K890,N890)</f>
        <v>28552</v>
      </c>
    </row>
    <row r="891" spans="1:17" x14ac:dyDescent="0.45">
      <c r="A891" s="6" t="s">
        <v>952</v>
      </c>
      <c r="B891" s="9" t="s">
        <v>949</v>
      </c>
      <c r="C891" s="6" t="s">
        <v>96</v>
      </c>
      <c r="D891" s="18">
        <f ca="1">RANDBETWEEN(500,1000)</f>
        <v>709</v>
      </c>
      <c r="E891" s="19">
        <v>45593</v>
      </c>
      <c r="F891" s="18">
        <v>88</v>
      </c>
      <c r="G891" s="20">
        <v>0.54</v>
      </c>
      <c r="H891" s="18">
        <f t="shared" ca="1" si="54"/>
        <v>63</v>
      </c>
      <c r="I891" s="18">
        <f t="shared" ca="1" si="55"/>
        <v>179</v>
      </c>
      <c r="J891" s="15">
        <f ca="1">K891-L891</f>
        <v>92</v>
      </c>
      <c r="K891" s="15">
        <v>129</v>
      </c>
      <c r="L891" s="15">
        <f ca="1">RANDBETWEEN(30,87)</f>
        <v>37</v>
      </c>
      <c r="M891" s="11">
        <f ca="1">(L891/J891)</f>
        <v>0.40217391304347827</v>
      </c>
      <c r="N891" s="18">
        <v>25</v>
      </c>
      <c r="O891" s="18" t="str">
        <f t="shared" ca="1" si="56"/>
        <v>Optimal</v>
      </c>
      <c r="P891" s="11" t="str">
        <f ca="1">RANDBETWEEN(30,76)&amp;"%"</f>
        <v>66%</v>
      </c>
      <c r="Q891" s="18">
        <f>PRODUCT(K891,N891)</f>
        <v>3225</v>
      </c>
    </row>
    <row r="892" spans="1:17" x14ac:dyDescent="0.45">
      <c r="A892" s="6" t="s">
        <v>953</v>
      </c>
      <c r="B892" s="9" t="s">
        <v>949</v>
      </c>
      <c r="C892" s="6" t="s">
        <v>96</v>
      </c>
      <c r="D892" s="18">
        <f ca="1">RANDBETWEEN(500,1000)</f>
        <v>623</v>
      </c>
      <c r="E892" s="19">
        <v>45609</v>
      </c>
      <c r="F892" s="18">
        <v>80</v>
      </c>
      <c r="G892" s="20">
        <v>0.32</v>
      </c>
      <c r="H892" s="18">
        <f t="shared" ca="1" si="54"/>
        <v>61</v>
      </c>
      <c r="I892" s="18">
        <f t="shared" ca="1" si="55"/>
        <v>183</v>
      </c>
      <c r="J892" s="15">
        <f ca="1">K892-L892</f>
        <v>170</v>
      </c>
      <c r="K892" s="15">
        <v>215</v>
      </c>
      <c r="L892" s="15">
        <f ca="1">RANDBETWEEN(30,87)</f>
        <v>45</v>
      </c>
      <c r="M892" s="11">
        <f ca="1">(L892/J892)</f>
        <v>0.26470588235294118</v>
      </c>
      <c r="N892" s="18">
        <v>98</v>
      </c>
      <c r="O892" s="18" t="str">
        <f t="shared" ca="1" si="56"/>
        <v>Optimal</v>
      </c>
      <c r="P892" s="11" t="str">
        <f ca="1">RANDBETWEEN(30,76)&amp;"%"</f>
        <v>68%</v>
      </c>
      <c r="Q892" s="18">
        <f>PRODUCT(K892,N892)</f>
        <v>21070</v>
      </c>
    </row>
    <row r="893" spans="1:17" x14ac:dyDescent="0.45">
      <c r="A893" s="6" t="s">
        <v>954</v>
      </c>
      <c r="B893" s="9" t="s">
        <v>949</v>
      </c>
      <c r="C893" s="6" t="s">
        <v>96</v>
      </c>
      <c r="D893" s="18">
        <f ca="1">RANDBETWEEN(500,1000)</f>
        <v>801</v>
      </c>
      <c r="E893" s="19">
        <v>45707</v>
      </c>
      <c r="F893" s="18">
        <v>39</v>
      </c>
      <c r="G893" s="20">
        <v>0.45</v>
      </c>
      <c r="H893" s="18">
        <f t="shared" ca="1" si="54"/>
        <v>57</v>
      </c>
      <c r="I893" s="18">
        <f t="shared" ca="1" si="55"/>
        <v>84</v>
      </c>
      <c r="J893" s="15">
        <f ca="1">K893-L893</f>
        <v>333</v>
      </c>
      <c r="K893" s="15">
        <v>387</v>
      </c>
      <c r="L893" s="15">
        <f ca="1">RANDBETWEEN(30,87)</f>
        <v>54</v>
      </c>
      <c r="M893" s="11">
        <f ca="1">(L893/J893)</f>
        <v>0.16216216216216217</v>
      </c>
      <c r="N893" s="18">
        <v>84</v>
      </c>
      <c r="O893" s="18" t="str">
        <f t="shared" ca="1" si="56"/>
        <v>Understocked</v>
      </c>
      <c r="P893" s="11" t="str">
        <f ca="1">RANDBETWEEN(30,76)&amp;"%"</f>
        <v>50%</v>
      </c>
      <c r="Q893" s="18">
        <f>PRODUCT(K893,N893)</f>
        <v>32508</v>
      </c>
    </row>
    <row r="894" spans="1:17" x14ac:dyDescent="0.45">
      <c r="A894" s="6" t="s">
        <v>1025</v>
      </c>
      <c r="B894" s="9" t="s">
        <v>1026</v>
      </c>
      <c r="C894" s="6" t="s">
        <v>96</v>
      </c>
      <c r="D894" s="18">
        <f ca="1">RANDBETWEEN(500,1000)</f>
        <v>987</v>
      </c>
      <c r="E894" s="19">
        <v>45431</v>
      </c>
      <c r="F894" s="18">
        <v>51</v>
      </c>
      <c r="G894" s="20">
        <v>0.68</v>
      </c>
      <c r="H894" s="18">
        <f t="shared" ca="1" si="54"/>
        <v>69</v>
      </c>
      <c r="I894" s="18">
        <f t="shared" ca="1" si="55"/>
        <v>79</v>
      </c>
      <c r="J894" s="15">
        <f ca="1">K894-L894</f>
        <v>254</v>
      </c>
      <c r="K894" s="15">
        <v>301</v>
      </c>
      <c r="L894" s="15">
        <f ca="1">RANDBETWEEN(30,87)</f>
        <v>47</v>
      </c>
      <c r="M894" s="11">
        <f ca="1">(L894/J894)</f>
        <v>0.18503937007874016</v>
      </c>
      <c r="N894" s="18">
        <v>24</v>
      </c>
      <c r="O894" s="18" t="str">
        <f t="shared" ca="1" si="56"/>
        <v>Understocked</v>
      </c>
      <c r="P894" s="11" t="str">
        <f ca="1">RANDBETWEEN(30,76)&amp;"%"</f>
        <v>76%</v>
      </c>
      <c r="Q894" s="18">
        <f>PRODUCT(K894,N894)</f>
        <v>7224</v>
      </c>
    </row>
    <row r="895" spans="1:17" x14ac:dyDescent="0.45">
      <c r="A895" s="6" t="s">
        <v>1027</v>
      </c>
      <c r="B895" s="9" t="s">
        <v>1026</v>
      </c>
      <c r="C895" s="6" t="s">
        <v>96</v>
      </c>
      <c r="D895" s="18">
        <f ca="1">RANDBETWEEN(500,1000)</f>
        <v>582</v>
      </c>
      <c r="E895" s="19">
        <v>45516</v>
      </c>
      <c r="F895" s="18">
        <v>18</v>
      </c>
      <c r="G895" s="20">
        <v>0.59</v>
      </c>
      <c r="H895" s="18">
        <f t="shared" ca="1" si="54"/>
        <v>79</v>
      </c>
      <c r="I895" s="18">
        <f t="shared" ca="1" si="55"/>
        <v>180</v>
      </c>
      <c r="J895" s="15">
        <f ca="1">K895-L895</f>
        <v>438</v>
      </c>
      <c r="K895" s="15">
        <v>516</v>
      </c>
      <c r="L895" s="15">
        <f ca="1">RANDBETWEEN(30,87)</f>
        <v>78</v>
      </c>
      <c r="M895" s="11">
        <f ca="1">(L895/J895)</f>
        <v>0.17808219178082191</v>
      </c>
      <c r="N895" s="18">
        <v>25</v>
      </c>
      <c r="O895" s="18" t="str">
        <f t="shared" ca="1" si="56"/>
        <v>Understocked</v>
      </c>
      <c r="P895" s="11" t="str">
        <f ca="1">RANDBETWEEN(30,76)&amp;"%"</f>
        <v>60%</v>
      </c>
      <c r="Q895" s="18">
        <f>PRODUCT(K895,N895)</f>
        <v>12900</v>
      </c>
    </row>
    <row r="896" spans="1:17" x14ac:dyDescent="0.45">
      <c r="A896" s="6" t="s">
        <v>1028</v>
      </c>
      <c r="B896" s="9" t="s">
        <v>1026</v>
      </c>
      <c r="C896" s="6" t="s">
        <v>96</v>
      </c>
      <c r="D896" s="18">
        <f ca="1">RANDBETWEEN(500,1000)</f>
        <v>634</v>
      </c>
      <c r="E896" s="19">
        <v>45545</v>
      </c>
      <c r="F896" s="18">
        <v>70</v>
      </c>
      <c r="G896" s="20">
        <v>0.82</v>
      </c>
      <c r="H896" s="18">
        <f t="shared" ca="1" si="54"/>
        <v>78</v>
      </c>
      <c r="I896" s="18">
        <f t="shared" ca="1" si="55"/>
        <v>97</v>
      </c>
      <c r="J896" s="15">
        <f ca="1">K896-L896</f>
        <v>194</v>
      </c>
      <c r="K896" s="15">
        <v>258</v>
      </c>
      <c r="L896" s="15">
        <f ca="1">RANDBETWEEN(30,87)</f>
        <v>64</v>
      </c>
      <c r="M896" s="11">
        <f ca="1">(L896/J896)</f>
        <v>0.32989690721649484</v>
      </c>
      <c r="N896" s="18">
        <v>100</v>
      </c>
      <c r="O896" s="18" t="str">
        <f t="shared" ca="1" si="56"/>
        <v>Understocked</v>
      </c>
      <c r="P896" s="11" t="str">
        <f ca="1">RANDBETWEEN(30,76)&amp;"%"</f>
        <v>41%</v>
      </c>
      <c r="Q896" s="18">
        <f>PRODUCT(K896,N896)</f>
        <v>25800</v>
      </c>
    </row>
    <row r="897" spans="1:17" x14ac:dyDescent="0.45">
      <c r="A897" s="6" t="s">
        <v>1029</v>
      </c>
      <c r="B897" s="9" t="s">
        <v>1026</v>
      </c>
      <c r="C897" s="6" t="s">
        <v>96</v>
      </c>
      <c r="D897" s="18">
        <f ca="1">RANDBETWEEN(500,1000)</f>
        <v>665</v>
      </c>
      <c r="E897" s="19">
        <v>45503</v>
      </c>
      <c r="F897" s="18">
        <v>41</v>
      </c>
      <c r="G897" s="20">
        <v>0.56000000000000005</v>
      </c>
      <c r="H897" s="18">
        <f t="shared" ca="1" si="54"/>
        <v>64</v>
      </c>
      <c r="I897" s="18">
        <f t="shared" ca="1" si="55"/>
        <v>152</v>
      </c>
      <c r="J897" s="15">
        <f ca="1">K897-L897</f>
        <v>434</v>
      </c>
      <c r="K897" s="15">
        <v>516</v>
      </c>
      <c r="L897" s="15">
        <f ca="1">RANDBETWEEN(30,87)</f>
        <v>82</v>
      </c>
      <c r="M897" s="11">
        <f ca="1">(L897/J897)</f>
        <v>0.1889400921658986</v>
      </c>
      <c r="N897" s="18">
        <v>55</v>
      </c>
      <c r="O897" s="18" t="str">
        <f t="shared" ca="1" si="56"/>
        <v>Understocked</v>
      </c>
      <c r="P897" s="11" t="str">
        <f ca="1">RANDBETWEEN(30,76)&amp;"%"</f>
        <v>75%</v>
      </c>
      <c r="Q897" s="18">
        <f>PRODUCT(K897,N897)</f>
        <v>28380</v>
      </c>
    </row>
    <row r="898" spans="1:17" x14ac:dyDescent="0.45">
      <c r="A898" s="6" t="s">
        <v>1030</v>
      </c>
      <c r="B898" s="9" t="s">
        <v>1026</v>
      </c>
      <c r="C898" s="6" t="s">
        <v>96</v>
      </c>
      <c r="D898" s="18">
        <f ca="1">RANDBETWEEN(500,1000)</f>
        <v>893</v>
      </c>
      <c r="E898" s="19">
        <v>45686</v>
      </c>
      <c r="F898" s="18">
        <v>75</v>
      </c>
      <c r="G898" s="20">
        <v>0.76</v>
      </c>
      <c r="H898" s="18">
        <f t="shared" ca="1" si="54"/>
        <v>62</v>
      </c>
      <c r="I898" s="18">
        <f t="shared" ca="1" si="55"/>
        <v>121</v>
      </c>
      <c r="J898" s="15">
        <f ca="1">K898-L898</f>
        <v>342.5</v>
      </c>
      <c r="K898" s="15">
        <v>408.5</v>
      </c>
      <c r="L898" s="15">
        <f ca="1">RANDBETWEEN(30,87)</f>
        <v>66</v>
      </c>
      <c r="M898" s="11">
        <f ca="1">(L898/J898)</f>
        <v>0.19270072992700729</v>
      </c>
      <c r="N898" s="18">
        <v>79</v>
      </c>
      <c r="O898" s="18" t="str">
        <f t="shared" ca="1" si="56"/>
        <v>Optimal</v>
      </c>
      <c r="P898" s="11" t="str">
        <f ca="1">RANDBETWEEN(30,76)&amp;"%"</f>
        <v>34%</v>
      </c>
      <c r="Q898" s="18">
        <f>PRODUCT(K898,N898)</f>
        <v>32271.5</v>
      </c>
    </row>
    <row r="899" spans="1:17" x14ac:dyDescent="0.45">
      <c r="A899" s="6" t="s">
        <v>1031</v>
      </c>
      <c r="B899" s="9" t="s">
        <v>1026</v>
      </c>
      <c r="C899" s="6" t="s">
        <v>96</v>
      </c>
      <c r="D899" s="18">
        <f ca="1">RANDBETWEEN(500,1000)</f>
        <v>945</v>
      </c>
      <c r="E899" s="19">
        <v>45673</v>
      </c>
      <c r="F899" s="18">
        <v>23</v>
      </c>
      <c r="G899" s="20">
        <v>0.77</v>
      </c>
      <c r="H899" s="18">
        <f t="shared" ca="1" si="54"/>
        <v>68</v>
      </c>
      <c r="I899" s="18">
        <f t="shared" ca="1" si="55"/>
        <v>165</v>
      </c>
      <c r="J899" s="15">
        <f ca="1">K899-L899</f>
        <v>397</v>
      </c>
      <c r="K899" s="15">
        <v>456</v>
      </c>
      <c r="L899" s="15">
        <f ca="1">RANDBETWEEN(30,87)</f>
        <v>59</v>
      </c>
      <c r="M899" s="11">
        <f ca="1">(L899/J899)</f>
        <v>0.1486146095717884</v>
      </c>
      <c r="N899" s="18">
        <v>63</v>
      </c>
      <c r="O899" s="18" t="str">
        <f t="shared" ca="1" si="56"/>
        <v>Understocked</v>
      </c>
      <c r="P899" s="11" t="str">
        <f ca="1">RANDBETWEEN(30,76)&amp;"%"</f>
        <v>32%</v>
      </c>
      <c r="Q899" s="18">
        <f>PRODUCT(K899,N899)</f>
        <v>28728</v>
      </c>
    </row>
    <row r="900" spans="1:17" x14ac:dyDescent="0.45">
      <c r="A900" s="6" t="s">
        <v>1032</v>
      </c>
      <c r="B900" s="9" t="s">
        <v>1026</v>
      </c>
      <c r="C900" s="6" t="s">
        <v>96</v>
      </c>
      <c r="D900" s="18">
        <f ca="1">RANDBETWEEN(500,1000)</f>
        <v>787</v>
      </c>
      <c r="E900" s="19">
        <v>45437</v>
      </c>
      <c r="F900" s="18">
        <v>57</v>
      </c>
      <c r="G900" s="20">
        <v>0.68</v>
      </c>
      <c r="H900" s="18">
        <f t="shared" ca="1" si="54"/>
        <v>62</v>
      </c>
      <c r="I900" s="18">
        <f t="shared" ca="1" si="55"/>
        <v>190</v>
      </c>
      <c r="J900" s="15">
        <f ca="1">K900-L900</f>
        <v>365</v>
      </c>
      <c r="K900" s="15">
        <v>430</v>
      </c>
      <c r="L900" s="15">
        <f ca="1">RANDBETWEEN(30,87)</f>
        <v>65</v>
      </c>
      <c r="M900" s="11">
        <f ca="1">(L900/J900)</f>
        <v>0.17808219178082191</v>
      </c>
      <c r="N900" s="18">
        <v>89</v>
      </c>
      <c r="O900" s="18" t="str">
        <f t="shared" ca="1" si="56"/>
        <v>Understocked</v>
      </c>
      <c r="P900" s="11" t="str">
        <f ca="1">RANDBETWEEN(30,76)&amp;"%"</f>
        <v>41%</v>
      </c>
      <c r="Q900" s="18">
        <f>PRODUCT(K900,N900)</f>
        <v>38270</v>
      </c>
    </row>
    <row r="901" spans="1:17" x14ac:dyDescent="0.45">
      <c r="A901" t="s">
        <v>39</v>
      </c>
      <c r="B901" t="s">
        <v>31</v>
      </c>
      <c r="C901" t="s">
        <v>32</v>
      </c>
      <c r="D901" s="18">
        <f ca="1">RANDBETWEEN(500,1000)</f>
        <v>901</v>
      </c>
      <c r="E901" s="1">
        <v>45591</v>
      </c>
      <c r="F901">
        <v>100</v>
      </c>
      <c r="G901" s="2">
        <v>0.78</v>
      </c>
      <c r="H901" s="18">
        <f t="shared" ca="1" si="54"/>
        <v>57</v>
      </c>
      <c r="I901" s="18">
        <f t="shared" ca="1" si="55"/>
        <v>185</v>
      </c>
      <c r="J901" s="4">
        <f ca="1">K901-L901</f>
        <v>1665</v>
      </c>
      <c r="K901" s="4">
        <v>1720</v>
      </c>
      <c r="L901" s="4">
        <f ca="1">RANDBETWEEN(30,87)</f>
        <v>55</v>
      </c>
      <c r="M901" s="3">
        <f ca="1">(L901/J901)</f>
        <v>3.3033033033033031E-2</v>
      </c>
      <c r="N901">
        <v>54</v>
      </c>
      <c r="O901" s="18" t="str">
        <f t="shared" ca="1" si="56"/>
        <v>Optimal</v>
      </c>
      <c r="P901">
        <v>33</v>
      </c>
    </row>
    <row r="902" spans="1:17" x14ac:dyDescent="0.45">
      <c r="A902" t="s">
        <v>531</v>
      </c>
      <c r="B902" t="s">
        <v>525</v>
      </c>
      <c r="C902" t="s">
        <v>32</v>
      </c>
      <c r="D902" s="18">
        <f ca="1">RANDBETWEEN(500,1000)</f>
        <v>673</v>
      </c>
      <c r="E902" s="1">
        <v>45705</v>
      </c>
      <c r="F902">
        <v>19</v>
      </c>
      <c r="G902" s="2">
        <v>0.31</v>
      </c>
      <c r="H902" s="18">
        <f t="shared" ca="1" si="54"/>
        <v>71</v>
      </c>
      <c r="I902" s="18">
        <f t="shared" ca="1" si="55"/>
        <v>175</v>
      </c>
      <c r="J902" s="4">
        <f ca="1">K902-L902</f>
        <v>980</v>
      </c>
      <c r="K902" s="4">
        <v>1032</v>
      </c>
      <c r="L902" s="4">
        <f ca="1">RANDBETWEEN(30,87)</f>
        <v>52</v>
      </c>
      <c r="M902" s="3">
        <f ca="1">(L902/J902)</f>
        <v>5.3061224489795916E-2</v>
      </c>
      <c r="N902">
        <v>29</v>
      </c>
      <c r="O902" s="18" t="str">
        <f t="shared" ca="1" si="56"/>
        <v>Understocked</v>
      </c>
      <c r="P902">
        <v>84</v>
      </c>
    </row>
    <row r="903" spans="1:17" x14ac:dyDescent="0.45">
      <c r="A903" t="s">
        <v>534</v>
      </c>
      <c r="B903" t="s">
        <v>525</v>
      </c>
      <c r="C903" t="s">
        <v>32</v>
      </c>
      <c r="D903" s="18">
        <f ca="1">RANDBETWEEN(500,1000)</f>
        <v>588</v>
      </c>
      <c r="E903" s="1">
        <v>45593</v>
      </c>
      <c r="F903">
        <v>46</v>
      </c>
      <c r="G903" s="2">
        <v>0.77</v>
      </c>
      <c r="H903" s="18">
        <f t="shared" ca="1" si="54"/>
        <v>63</v>
      </c>
      <c r="I903" s="18">
        <f t="shared" ca="1" si="55"/>
        <v>144</v>
      </c>
      <c r="J903" s="4">
        <f ca="1">K903-L903</f>
        <v>15.400000000000006</v>
      </c>
      <c r="K903" s="4">
        <v>77.400000000000006</v>
      </c>
      <c r="L903" s="4">
        <f ca="1">RANDBETWEEN(30,87)</f>
        <v>62</v>
      </c>
      <c r="M903" s="3">
        <f ca="1">(L903/J903)</f>
        <v>4.0259740259740244</v>
      </c>
      <c r="N903">
        <v>65</v>
      </c>
      <c r="O903" s="18" t="str">
        <f t="shared" ca="1" si="56"/>
        <v>Understocked</v>
      </c>
      <c r="P903">
        <v>4</v>
      </c>
    </row>
    <row r="904" spans="1:17" x14ac:dyDescent="0.45">
      <c r="A904" t="s">
        <v>541</v>
      </c>
      <c r="B904" t="s">
        <v>540</v>
      </c>
      <c r="C904" t="s">
        <v>32</v>
      </c>
      <c r="D904" s="18">
        <f ca="1">RANDBETWEEN(500,1000)</f>
        <v>586</v>
      </c>
      <c r="E904" s="1">
        <v>45575</v>
      </c>
      <c r="F904">
        <v>18</v>
      </c>
      <c r="G904" s="2">
        <v>0.5</v>
      </c>
      <c r="H904" s="18">
        <f t="shared" ca="1" si="54"/>
        <v>69</v>
      </c>
      <c r="I904" s="18">
        <f t="shared" ca="1" si="55"/>
        <v>194</v>
      </c>
      <c r="J904" s="4">
        <f ca="1">K904-L904</f>
        <v>795</v>
      </c>
      <c r="K904" s="4">
        <v>860</v>
      </c>
      <c r="L904" s="4">
        <f ca="1">RANDBETWEEN(30,87)</f>
        <v>65</v>
      </c>
      <c r="M904" s="3">
        <f ca="1">(L904/J904)</f>
        <v>8.1761006289308172E-2</v>
      </c>
      <c r="N904">
        <v>57</v>
      </c>
      <c r="O904" s="18" t="str">
        <f t="shared" ca="1" si="56"/>
        <v>Understocked</v>
      </c>
      <c r="P904">
        <v>45</v>
      </c>
    </row>
    <row r="905" spans="1:17" x14ac:dyDescent="0.45">
      <c r="A905" t="s">
        <v>543</v>
      </c>
      <c r="B905" t="s">
        <v>540</v>
      </c>
      <c r="C905" t="s">
        <v>32</v>
      </c>
      <c r="D905" s="18">
        <f ca="1">RANDBETWEEN(500,1000)</f>
        <v>511</v>
      </c>
      <c r="E905" s="1">
        <v>45410</v>
      </c>
      <c r="F905">
        <v>68</v>
      </c>
      <c r="G905" s="2">
        <v>0.6</v>
      </c>
      <c r="H905" s="18">
        <f t="shared" ca="1" si="54"/>
        <v>66</v>
      </c>
      <c r="I905" s="18">
        <f t="shared" ca="1" si="55"/>
        <v>74</v>
      </c>
      <c r="J905" s="4">
        <f ca="1">K905-L905</f>
        <v>950.4</v>
      </c>
      <c r="K905" s="4">
        <v>1023.4</v>
      </c>
      <c r="L905" s="4">
        <f ca="1">RANDBETWEEN(30,87)</f>
        <v>73</v>
      </c>
      <c r="M905" s="3">
        <f ca="1">(L905/J905)</f>
        <v>7.6809764309764314E-2</v>
      </c>
      <c r="N905">
        <v>75</v>
      </c>
      <c r="O905" s="18" t="str">
        <f t="shared" ca="1" si="56"/>
        <v>Optimal</v>
      </c>
      <c r="P905">
        <v>54</v>
      </c>
    </row>
    <row r="906" spans="1:17" x14ac:dyDescent="0.45">
      <c r="A906" t="s">
        <v>629</v>
      </c>
      <c r="B906" t="s">
        <v>626</v>
      </c>
      <c r="C906" t="s">
        <v>32</v>
      </c>
      <c r="D906" s="18">
        <f ca="1">RANDBETWEEN(500,1000)</f>
        <v>767</v>
      </c>
      <c r="E906" s="1">
        <v>45367</v>
      </c>
      <c r="F906">
        <v>82</v>
      </c>
      <c r="G906" s="2">
        <v>0.47</v>
      </c>
      <c r="H906" s="18">
        <f t="shared" ca="1" si="54"/>
        <v>57</v>
      </c>
      <c r="I906" s="18">
        <f t="shared" ca="1" si="55"/>
        <v>113</v>
      </c>
      <c r="J906" s="4">
        <f ca="1">K906-L906</f>
        <v>1213</v>
      </c>
      <c r="K906" s="4">
        <v>1290</v>
      </c>
      <c r="L906" s="4">
        <f ca="1">RANDBETWEEN(30,87)</f>
        <v>77</v>
      </c>
      <c r="M906" s="3">
        <f ca="1">(L906/J906)</f>
        <v>6.3478977741137671E-2</v>
      </c>
      <c r="N906">
        <v>66</v>
      </c>
      <c r="O906" s="18" t="str">
        <f t="shared" ca="1" si="56"/>
        <v>Optimal</v>
      </c>
      <c r="P906">
        <v>74</v>
      </c>
    </row>
    <row r="907" spans="1:17" x14ac:dyDescent="0.45">
      <c r="A907" t="s">
        <v>632</v>
      </c>
      <c r="B907" t="s">
        <v>626</v>
      </c>
      <c r="C907" t="s">
        <v>32</v>
      </c>
      <c r="D907" s="18">
        <f ca="1">RANDBETWEEN(500,1000)</f>
        <v>638</v>
      </c>
      <c r="E907" s="1">
        <v>45628</v>
      </c>
      <c r="F907">
        <v>71</v>
      </c>
      <c r="G907" s="2">
        <v>0.32</v>
      </c>
      <c r="H907" s="18">
        <f t="shared" ref="H907:H952" ca="1" si="57">RANDBETWEEN(50,80)</f>
        <v>64</v>
      </c>
      <c r="I907" s="18">
        <f t="shared" ref="I907:I952" ca="1" si="58">RANDBETWEEN(70,200)</f>
        <v>117</v>
      </c>
      <c r="J907" s="4">
        <f ca="1">K907-L907</f>
        <v>14</v>
      </c>
      <c r="K907" s="4">
        <v>86</v>
      </c>
      <c r="L907" s="4">
        <f ca="1">RANDBETWEEN(30,87)</f>
        <v>72</v>
      </c>
      <c r="M907" s="3">
        <f ca="1">(L907/J907)</f>
        <v>5.1428571428571432</v>
      </c>
      <c r="N907">
        <v>52</v>
      </c>
      <c r="O907" s="18" t="str">
        <f t="shared" ref="O907:O952" ca="1" si="59">IF(F907&lt;H907,"Understocked","Optimal")</f>
        <v>Optimal</v>
      </c>
      <c r="P907">
        <v>65</v>
      </c>
    </row>
    <row r="908" spans="1:17" x14ac:dyDescent="0.45">
      <c r="A908" t="s">
        <v>885</v>
      </c>
      <c r="B908" t="s">
        <v>878</v>
      </c>
      <c r="C908" t="s">
        <v>32</v>
      </c>
      <c r="D908" s="18">
        <f ca="1">RANDBETWEEN(500,1000)</f>
        <v>977</v>
      </c>
      <c r="E908" s="1">
        <v>45347</v>
      </c>
      <c r="F908">
        <v>49</v>
      </c>
      <c r="G908" s="2">
        <v>0.36</v>
      </c>
      <c r="H908" s="18">
        <f t="shared" ca="1" si="57"/>
        <v>73</v>
      </c>
      <c r="I908" s="18">
        <f t="shared" ca="1" si="58"/>
        <v>147</v>
      </c>
      <c r="J908" s="4">
        <f ca="1">K908-L908</f>
        <v>807</v>
      </c>
      <c r="K908" s="4">
        <v>860</v>
      </c>
      <c r="L908" s="4">
        <f ca="1">RANDBETWEEN(30,87)</f>
        <v>53</v>
      </c>
      <c r="M908" s="3">
        <f ca="1">(L908/J908)</f>
        <v>6.5675340768277565E-2</v>
      </c>
      <c r="N908">
        <v>96</v>
      </c>
      <c r="O908" s="18" t="str">
        <f t="shared" ca="1" si="59"/>
        <v>Understocked</v>
      </c>
      <c r="P908">
        <v>36</v>
      </c>
    </row>
    <row r="909" spans="1:17" x14ac:dyDescent="0.45">
      <c r="A909" t="s">
        <v>1003</v>
      </c>
      <c r="B909" t="s">
        <v>1002</v>
      </c>
      <c r="C909" t="s">
        <v>32</v>
      </c>
      <c r="D909" s="18">
        <f ca="1">RANDBETWEEN(500,1000)</f>
        <v>769</v>
      </c>
      <c r="E909" s="1">
        <v>45579</v>
      </c>
      <c r="F909">
        <v>91</v>
      </c>
      <c r="G909" s="2">
        <v>0.63</v>
      </c>
      <c r="H909" s="18">
        <f t="shared" ca="1" si="57"/>
        <v>53</v>
      </c>
      <c r="I909" s="18">
        <f t="shared" ca="1" si="58"/>
        <v>187</v>
      </c>
      <c r="J909" s="4">
        <f ca="1">K909-L909</f>
        <v>1686</v>
      </c>
      <c r="K909" s="4">
        <v>1720</v>
      </c>
      <c r="L909" s="4">
        <f ca="1">RANDBETWEEN(30,87)</f>
        <v>34</v>
      </c>
      <c r="M909" s="3">
        <f ca="1">(L909/J909)</f>
        <v>2.0166073546856466E-2</v>
      </c>
      <c r="N909">
        <v>81</v>
      </c>
      <c r="O909" s="18" t="str">
        <f t="shared" ca="1" si="59"/>
        <v>Optimal</v>
      </c>
      <c r="P909">
        <v>100</v>
      </c>
    </row>
    <row r="910" spans="1:17" x14ac:dyDescent="0.45">
      <c r="A910" s="6" t="s">
        <v>30</v>
      </c>
      <c r="B910" s="9" t="s">
        <v>31</v>
      </c>
      <c r="C910" s="6" t="s">
        <v>32</v>
      </c>
      <c r="D910" s="18">
        <f ca="1">RANDBETWEEN(500,1000)</f>
        <v>785</v>
      </c>
      <c r="E910" s="19">
        <v>45711</v>
      </c>
      <c r="F910" s="18">
        <v>81</v>
      </c>
      <c r="G910" s="20">
        <v>0.62</v>
      </c>
      <c r="H910" s="18">
        <f t="shared" ca="1" si="57"/>
        <v>56</v>
      </c>
      <c r="I910" s="18">
        <f t="shared" ca="1" si="58"/>
        <v>108</v>
      </c>
      <c r="J910" s="15">
        <f ca="1">K910-L910</f>
        <v>257</v>
      </c>
      <c r="K910" s="15">
        <v>344</v>
      </c>
      <c r="L910" s="15">
        <f ca="1">RANDBETWEEN(30,87)</f>
        <v>87</v>
      </c>
      <c r="M910" s="11">
        <f ca="1">(L910/J910)</f>
        <v>0.33852140077821014</v>
      </c>
      <c r="N910" s="18">
        <v>95</v>
      </c>
      <c r="O910" s="18" t="str">
        <f t="shared" ca="1" si="59"/>
        <v>Optimal</v>
      </c>
      <c r="P910" s="11" t="str">
        <f ca="1">RANDBETWEEN(30,76)&amp;"%"</f>
        <v>67%</v>
      </c>
      <c r="Q910" s="18">
        <f>PRODUCT(K910,N910)</f>
        <v>32680</v>
      </c>
    </row>
    <row r="911" spans="1:17" x14ac:dyDescent="0.45">
      <c r="A911" s="6" t="s">
        <v>33</v>
      </c>
      <c r="B911" s="9" t="s">
        <v>31</v>
      </c>
      <c r="C911" s="6" t="s">
        <v>32</v>
      </c>
      <c r="D911" s="18">
        <f ca="1">RANDBETWEEN(500,1000)</f>
        <v>919</v>
      </c>
      <c r="E911" s="19">
        <v>45347</v>
      </c>
      <c r="F911" s="18">
        <v>60</v>
      </c>
      <c r="G911" s="20">
        <v>0.74</v>
      </c>
      <c r="H911" s="18">
        <f t="shared" ca="1" si="57"/>
        <v>53</v>
      </c>
      <c r="I911" s="18">
        <f t="shared" ca="1" si="58"/>
        <v>199</v>
      </c>
      <c r="J911" s="15">
        <f ca="1">K911-L911</f>
        <v>161</v>
      </c>
      <c r="K911" s="15">
        <v>215</v>
      </c>
      <c r="L911" s="15">
        <f ca="1">RANDBETWEEN(30,87)</f>
        <v>54</v>
      </c>
      <c r="M911" s="11">
        <f ca="1">(L911/J911)</f>
        <v>0.33540372670807456</v>
      </c>
      <c r="N911" s="18">
        <v>34</v>
      </c>
      <c r="O911" s="18" t="str">
        <f t="shared" ca="1" si="59"/>
        <v>Optimal</v>
      </c>
      <c r="P911" s="11" t="str">
        <f ca="1">RANDBETWEEN(30,76)&amp;"%"</f>
        <v>49%</v>
      </c>
      <c r="Q911" s="18">
        <f>PRODUCT(K911,N911)</f>
        <v>7310</v>
      </c>
    </row>
    <row r="912" spans="1:17" x14ac:dyDescent="0.45">
      <c r="A912" s="6" t="s">
        <v>34</v>
      </c>
      <c r="B912" s="9" t="s">
        <v>31</v>
      </c>
      <c r="C912" s="6" t="s">
        <v>32</v>
      </c>
      <c r="D912" s="18">
        <f ca="1">RANDBETWEEN(500,1000)</f>
        <v>675</v>
      </c>
      <c r="E912" s="19">
        <v>45484</v>
      </c>
      <c r="F912" s="18">
        <v>83</v>
      </c>
      <c r="G912" s="20">
        <v>0.56999999999999995</v>
      </c>
      <c r="H912" s="18">
        <f t="shared" ca="1" si="57"/>
        <v>60</v>
      </c>
      <c r="I912" s="18">
        <f t="shared" ca="1" si="58"/>
        <v>177</v>
      </c>
      <c r="J912" s="15">
        <f ca="1">K912-L912</f>
        <v>314</v>
      </c>
      <c r="K912" s="15">
        <v>387</v>
      </c>
      <c r="L912" s="15">
        <f ca="1">RANDBETWEEN(30,87)</f>
        <v>73</v>
      </c>
      <c r="M912" s="11">
        <f ca="1">(L912/J912)</f>
        <v>0.23248407643312102</v>
      </c>
      <c r="N912" s="18">
        <v>33</v>
      </c>
      <c r="O912" s="18" t="str">
        <f t="shared" ca="1" si="59"/>
        <v>Optimal</v>
      </c>
      <c r="P912" s="11" t="str">
        <f ca="1">RANDBETWEEN(30,76)&amp;"%"</f>
        <v>55%</v>
      </c>
      <c r="Q912" s="18">
        <f>PRODUCT(K912,N912)</f>
        <v>12771</v>
      </c>
    </row>
    <row r="913" spans="1:17" x14ac:dyDescent="0.45">
      <c r="A913" s="6" t="s">
        <v>35</v>
      </c>
      <c r="B913" s="9" t="s">
        <v>31</v>
      </c>
      <c r="C913" s="6" t="s">
        <v>32</v>
      </c>
      <c r="D913" s="18">
        <f ca="1">RANDBETWEEN(500,1000)</f>
        <v>557</v>
      </c>
      <c r="E913" s="19">
        <v>45405</v>
      </c>
      <c r="F913" s="18">
        <v>64</v>
      </c>
      <c r="G913" s="20">
        <v>0.83</v>
      </c>
      <c r="H913" s="18">
        <f t="shared" ca="1" si="57"/>
        <v>73</v>
      </c>
      <c r="I913" s="18">
        <f t="shared" ca="1" si="58"/>
        <v>181</v>
      </c>
      <c r="J913" s="15">
        <f ca="1">K913-L913</f>
        <v>158</v>
      </c>
      <c r="K913" s="15">
        <v>215</v>
      </c>
      <c r="L913" s="15">
        <f ca="1">RANDBETWEEN(30,87)</f>
        <v>57</v>
      </c>
      <c r="M913" s="11">
        <f ca="1">(L913/J913)</f>
        <v>0.36075949367088606</v>
      </c>
      <c r="N913" s="18">
        <v>49</v>
      </c>
      <c r="O913" s="18" t="str">
        <f t="shared" ca="1" si="59"/>
        <v>Understocked</v>
      </c>
      <c r="P913" s="11" t="str">
        <f ca="1">RANDBETWEEN(30,76)&amp;"%"</f>
        <v>75%</v>
      </c>
      <c r="Q913" s="18">
        <f>PRODUCT(K913,N913)</f>
        <v>10535</v>
      </c>
    </row>
    <row r="914" spans="1:17" x14ac:dyDescent="0.45">
      <c r="A914" s="6" t="s">
        <v>36</v>
      </c>
      <c r="B914" s="9" t="s">
        <v>31</v>
      </c>
      <c r="C914" s="6" t="s">
        <v>32</v>
      </c>
      <c r="D914" s="18">
        <f ca="1">RANDBETWEEN(500,1000)</f>
        <v>721</v>
      </c>
      <c r="E914" s="19">
        <v>45361</v>
      </c>
      <c r="F914" s="18">
        <v>88</v>
      </c>
      <c r="G914" s="20">
        <v>0.74</v>
      </c>
      <c r="H914" s="18">
        <f t="shared" ca="1" si="57"/>
        <v>55</v>
      </c>
      <c r="I914" s="18">
        <f t="shared" ca="1" si="58"/>
        <v>200</v>
      </c>
      <c r="J914" s="15">
        <f ca="1">K914-L914</f>
        <v>483.20000000000005</v>
      </c>
      <c r="K914" s="15">
        <v>533.20000000000005</v>
      </c>
      <c r="L914" s="15">
        <f ca="1">RANDBETWEEN(30,87)</f>
        <v>50</v>
      </c>
      <c r="M914" s="11">
        <f ca="1">(L914/J914)</f>
        <v>0.10347682119205297</v>
      </c>
      <c r="N914" s="18">
        <v>98</v>
      </c>
      <c r="O914" s="18" t="str">
        <f t="shared" ca="1" si="59"/>
        <v>Optimal</v>
      </c>
      <c r="P914" s="11" t="str">
        <f ca="1">RANDBETWEEN(30,76)&amp;"%"</f>
        <v>38%</v>
      </c>
      <c r="Q914" s="18">
        <f>PRODUCT(K914,N914)</f>
        <v>52253.600000000006</v>
      </c>
    </row>
    <row r="915" spans="1:17" x14ac:dyDescent="0.45">
      <c r="A915" s="6" t="s">
        <v>37</v>
      </c>
      <c r="B915" s="9" t="s">
        <v>31</v>
      </c>
      <c r="C915" s="6" t="s">
        <v>32</v>
      </c>
      <c r="D915" s="18">
        <f ca="1">RANDBETWEEN(500,1000)</f>
        <v>775</v>
      </c>
      <c r="E915" s="19">
        <v>45420</v>
      </c>
      <c r="F915" s="18">
        <v>51</v>
      </c>
      <c r="G915" s="20">
        <v>0.4</v>
      </c>
      <c r="H915" s="18">
        <f t="shared" ca="1" si="57"/>
        <v>62</v>
      </c>
      <c r="I915" s="18">
        <f t="shared" ca="1" si="58"/>
        <v>100</v>
      </c>
      <c r="J915" s="15">
        <f ca="1">K915-L915</f>
        <v>184</v>
      </c>
      <c r="K915" s="15">
        <v>258</v>
      </c>
      <c r="L915" s="15">
        <f ca="1">RANDBETWEEN(30,87)</f>
        <v>74</v>
      </c>
      <c r="M915" s="11">
        <f ca="1">(L915/J915)</f>
        <v>0.40217391304347827</v>
      </c>
      <c r="N915" s="18">
        <v>80</v>
      </c>
      <c r="O915" s="18" t="str">
        <f t="shared" ca="1" si="59"/>
        <v>Understocked</v>
      </c>
      <c r="P915" s="11" t="str">
        <f ca="1">RANDBETWEEN(30,76)&amp;"%"</f>
        <v>70%</v>
      </c>
      <c r="Q915" s="18">
        <f>PRODUCT(K915,N915)</f>
        <v>20640</v>
      </c>
    </row>
    <row r="916" spans="1:17" x14ac:dyDescent="0.45">
      <c r="A916" s="6" t="s">
        <v>38</v>
      </c>
      <c r="B916" s="9" t="s">
        <v>31</v>
      </c>
      <c r="C916" s="6" t="s">
        <v>32</v>
      </c>
      <c r="D916" s="18">
        <f ca="1">RANDBETWEEN(500,1000)</f>
        <v>698</v>
      </c>
      <c r="E916" s="19">
        <v>45482</v>
      </c>
      <c r="F916" s="18">
        <v>86</v>
      </c>
      <c r="G916" s="20">
        <v>0.78</v>
      </c>
      <c r="H916" s="18">
        <f t="shared" ca="1" si="57"/>
        <v>72</v>
      </c>
      <c r="I916" s="18">
        <f t="shared" ca="1" si="58"/>
        <v>187</v>
      </c>
      <c r="J916" s="15">
        <f ca="1">K916-L916</f>
        <v>182.20000000000002</v>
      </c>
      <c r="K916" s="15">
        <v>232.20000000000002</v>
      </c>
      <c r="L916" s="15">
        <f ca="1">RANDBETWEEN(30,87)</f>
        <v>50</v>
      </c>
      <c r="M916" s="11">
        <f ca="1">(L916/J916)</f>
        <v>0.27442371020856199</v>
      </c>
      <c r="N916" s="18">
        <v>37</v>
      </c>
      <c r="O916" s="18" t="str">
        <f t="shared" ca="1" si="59"/>
        <v>Optimal</v>
      </c>
      <c r="P916" s="11" t="str">
        <f ca="1">RANDBETWEEN(30,76)&amp;"%"</f>
        <v>47%</v>
      </c>
      <c r="Q916" s="18">
        <f>PRODUCT(K916,N916)</f>
        <v>8591.4000000000015</v>
      </c>
    </row>
    <row r="917" spans="1:17" x14ac:dyDescent="0.45">
      <c r="A917" s="6" t="s">
        <v>40</v>
      </c>
      <c r="B917" s="9" t="s">
        <v>31</v>
      </c>
      <c r="C917" s="6" t="s">
        <v>32</v>
      </c>
      <c r="D917" s="18">
        <f ca="1">RANDBETWEEN(500,1000)</f>
        <v>910</v>
      </c>
      <c r="E917" s="19">
        <v>45455</v>
      </c>
      <c r="F917" s="18">
        <v>93</v>
      </c>
      <c r="G917" s="20">
        <v>0.37</v>
      </c>
      <c r="H917" s="18">
        <f t="shared" ca="1" si="57"/>
        <v>64</v>
      </c>
      <c r="I917" s="18">
        <f t="shared" ca="1" si="58"/>
        <v>76</v>
      </c>
      <c r="J917" s="15">
        <f ca="1">K917-L917</f>
        <v>103</v>
      </c>
      <c r="K917" s="15">
        <v>172</v>
      </c>
      <c r="L917" s="15">
        <f ca="1">RANDBETWEEN(30,87)</f>
        <v>69</v>
      </c>
      <c r="M917" s="11">
        <f ca="1">(L917/J917)</f>
        <v>0.66990291262135926</v>
      </c>
      <c r="N917" s="18">
        <v>81</v>
      </c>
      <c r="O917" s="18" t="str">
        <f t="shared" ca="1" si="59"/>
        <v>Optimal</v>
      </c>
      <c r="P917" s="11" t="str">
        <f ca="1">RANDBETWEEN(30,76)&amp;"%"</f>
        <v>35%</v>
      </c>
      <c r="Q917" s="18">
        <f>PRODUCT(K917,N917)</f>
        <v>13932</v>
      </c>
    </row>
    <row r="918" spans="1:17" x14ac:dyDescent="0.45">
      <c r="A918" s="6" t="s">
        <v>41</v>
      </c>
      <c r="B918" s="9" t="s">
        <v>31</v>
      </c>
      <c r="C918" s="6" t="s">
        <v>32</v>
      </c>
      <c r="D918" s="18">
        <f ca="1">RANDBETWEEN(500,1000)</f>
        <v>824</v>
      </c>
      <c r="E918" s="19">
        <v>45392</v>
      </c>
      <c r="F918" s="18">
        <v>44</v>
      </c>
      <c r="G918" s="20">
        <v>0.31</v>
      </c>
      <c r="H918" s="18">
        <f t="shared" ca="1" si="57"/>
        <v>80</v>
      </c>
      <c r="I918" s="18">
        <f t="shared" ca="1" si="58"/>
        <v>75</v>
      </c>
      <c r="J918" s="15">
        <f ca="1">K918-L918</f>
        <v>347.8</v>
      </c>
      <c r="K918" s="15">
        <v>412.8</v>
      </c>
      <c r="L918" s="15">
        <f ca="1">RANDBETWEEN(30,87)</f>
        <v>65</v>
      </c>
      <c r="M918" s="11">
        <f ca="1">(L918/J918)</f>
        <v>0.18688901667625071</v>
      </c>
      <c r="N918" s="18">
        <v>80</v>
      </c>
      <c r="O918" s="18" t="str">
        <f t="shared" ca="1" si="59"/>
        <v>Understocked</v>
      </c>
      <c r="P918" s="11" t="str">
        <f ca="1">RANDBETWEEN(30,76)&amp;"%"</f>
        <v>74%</v>
      </c>
      <c r="Q918" s="18">
        <f>PRODUCT(K918,N918)</f>
        <v>33024</v>
      </c>
    </row>
    <row r="919" spans="1:17" x14ac:dyDescent="0.45">
      <c r="A919" s="6" t="s">
        <v>42</v>
      </c>
      <c r="B919" s="9" t="s">
        <v>31</v>
      </c>
      <c r="C919" s="6" t="s">
        <v>32</v>
      </c>
      <c r="D919" s="18">
        <f ca="1">RANDBETWEEN(500,1000)</f>
        <v>780</v>
      </c>
      <c r="E919" s="19">
        <v>45573</v>
      </c>
      <c r="F919" s="18">
        <v>66</v>
      </c>
      <c r="G919" s="20">
        <v>0.68</v>
      </c>
      <c r="H919" s="18">
        <f t="shared" ca="1" si="57"/>
        <v>76</v>
      </c>
      <c r="I919" s="18">
        <f t="shared" ca="1" si="58"/>
        <v>123</v>
      </c>
      <c r="J919" s="15">
        <f ca="1">K919-L919</f>
        <v>293</v>
      </c>
      <c r="K919" s="15">
        <v>344</v>
      </c>
      <c r="L919" s="15">
        <f ca="1">RANDBETWEEN(30,87)</f>
        <v>51</v>
      </c>
      <c r="M919" s="11">
        <f ca="1">(L919/J919)</f>
        <v>0.17406143344709898</v>
      </c>
      <c r="N919" s="18">
        <v>27</v>
      </c>
      <c r="O919" s="18" t="str">
        <f t="shared" ca="1" si="59"/>
        <v>Understocked</v>
      </c>
      <c r="P919" s="11" t="str">
        <f ca="1">RANDBETWEEN(30,76)&amp;"%"</f>
        <v>69%</v>
      </c>
      <c r="Q919" s="18">
        <f>PRODUCT(K919,N919)</f>
        <v>9288</v>
      </c>
    </row>
    <row r="920" spans="1:17" x14ac:dyDescent="0.45">
      <c r="A920" s="6" t="s">
        <v>329</v>
      </c>
      <c r="B920" s="9" t="s">
        <v>330</v>
      </c>
      <c r="C920" s="6" t="s">
        <v>32</v>
      </c>
      <c r="D920" s="18">
        <f ca="1">RANDBETWEEN(500,1000)</f>
        <v>664</v>
      </c>
      <c r="E920" s="19">
        <v>45389</v>
      </c>
      <c r="F920" s="18">
        <v>72</v>
      </c>
      <c r="G920" s="20">
        <v>0.37</v>
      </c>
      <c r="H920" s="18">
        <f t="shared" ca="1" si="57"/>
        <v>71</v>
      </c>
      <c r="I920" s="18">
        <f t="shared" ca="1" si="58"/>
        <v>173</v>
      </c>
      <c r="J920" s="15">
        <f ca="1">K920-L920</f>
        <v>203</v>
      </c>
      <c r="K920" s="15">
        <v>258</v>
      </c>
      <c r="L920" s="15">
        <f ca="1">RANDBETWEEN(30,87)</f>
        <v>55</v>
      </c>
      <c r="M920" s="11">
        <f ca="1">(L920/J920)</f>
        <v>0.27093596059113301</v>
      </c>
      <c r="N920" s="18">
        <v>54</v>
      </c>
      <c r="O920" s="18" t="str">
        <f t="shared" ca="1" si="59"/>
        <v>Optimal</v>
      </c>
      <c r="P920" s="11" t="str">
        <f ca="1">RANDBETWEEN(30,76)&amp;"%"</f>
        <v>36%</v>
      </c>
      <c r="Q920" s="18">
        <f>PRODUCT(K920,N920)</f>
        <v>13932</v>
      </c>
    </row>
    <row r="921" spans="1:17" x14ac:dyDescent="0.45">
      <c r="A921" s="6" t="s">
        <v>331</v>
      </c>
      <c r="B921" s="9" t="s">
        <v>330</v>
      </c>
      <c r="C921" s="6" t="s">
        <v>32</v>
      </c>
      <c r="D921" s="18">
        <f ca="1">RANDBETWEEN(500,1000)</f>
        <v>606</v>
      </c>
      <c r="E921" s="19">
        <v>45436</v>
      </c>
      <c r="F921" s="18">
        <v>96</v>
      </c>
      <c r="G921" s="20">
        <v>0.76</v>
      </c>
      <c r="H921" s="18">
        <f t="shared" ca="1" si="57"/>
        <v>79</v>
      </c>
      <c r="I921" s="18">
        <f t="shared" ca="1" si="58"/>
        <v>185</v>
      </c>
      <c r="J921" s="15">
        <f ca="1">K921-L921</f>
        <v>175</v>
      </c>
      <c r="K921" s="15">
        <v>215</v>
      </c>
      <c r="L921" s="15">
        <f ca="1">RANDBETWEEN(30,87)</f>
        <v>40</v>
      </c>
      <c r="M921" s="11">
        <f ca="1">(L921/J921)</f>
        <v>0.22857142857142856</v>
      </c>
      <c r="N921" s="18">
        <v>97</v>
      </c>
      <c r="O921" s="18" t="str">
        <f t="shared" ca="1" si="59"/>
        <v>Optimal</v>
      </c>
      <c r="P921" s="11" t="str">
        <f ca="1">RANDBETWEEN(30,76)&amp;"%"</f>
        <v>52%</v>
      </c>
      <c r="Q921" s="18">
        <f>PRODUCT(K921,N921)</f>
        <v>20855</v>
      </c>
    </row>
    <row r="922" spans="1:17" x14ac:dyDescent="0.45">
      <c r="A922" s="6" t="s">
        <v>332</v>
      </c>
      <c r="B922" s="9" t="s">
        <v>330</v>
      </c>
      <c r="C922" s="6" t="s">
        <v>32</v>
      </c>
      <c r="D922" s="18">
        <f ca="1">RANDBETWEEN(500,1000)</f>
        <v>847</v>
      </c>
      <c r="E922" s="19">
        <v>45568</v>
      </c>
      <c r="F922" s="18">
        <v>65</v>
      </c>
      <c r="G922" s="20">
        <v>0.54</v>
      </c>
      <c r="H922" s="18">
        <f t="shared" ca="1" si="57"/>
        <v>53</v>
      </c>
      <c r="I922" s="18">
        <f t="shared" ca="1" si="58"/>
        <v>118</v>
      </c>
      <c r="J922" s="15">
        <f ca="1">K922-L922</f>
        <v>179.70000000000002</v>
      </c>
      <c r="K922" s="15">
        <v>253.70000000000002</v>
      </c>
      <c r="L922" s="15">
        <f ca="1">RANDBETWEEN(30,87)</f>
        <v>74</v>
      </c>
      <c r="M922" s="11">
        <f ca="1">(L922/J922)</f>
        <v>0.41179744017807451</v>
      </c>
      <c r="N922" s="18">
        <v>56</v>
      </c>
      <c r="O922" s="18" t="str">
        <f t="shared" ca="1" si="59"/>
        <v>Optimal</v>
      </c>
      <c r="P922" s="11" t="str">
        <f ca="1">RANDBETWEEN(30,76)&amp;"%"</f>
        <v>38%</v>
      </c>
      <c r="Q922" s="18">
        <f>PRODUCT(K922,N922)</f>
        <v>14207.2</v>
      </c>
    </row>
    <row r="923" spans="1:17" x14ac:dyDescent="0.45">
      <c r="A923" s="6" t="s">
        <v>333</v>
      </c>
      <c r="B923" s="9" t="s">
        <v>330</v>
      </c>
      <c r="C923" s="6" t="s">
        <v>32</v>
      </c>
      <c r="D923" s="18">
        <f ca="1">RANDBETWEEN(500,1000)</f>
        <v>693</v>
      </c>
      <c r="E923" s="19">
        <v>45488</v>
      </c>
      <c r="F923" s="18">
        <v>23</v>
      </c>
      <c r="G923" s="20">
        <v>0.8</v>
      </c>
      <c r="H923" s="18">
        <f t="shared" ca="1" si="57"/>
        <v>76</v>
      </c>
      <c r="I923" s="18">
        <f t="shared" ca="1" si="58"/>
        <v>195</v>
      </c>
      <c r="J923" s="15">
        <f ca="1">K923-L923</f>
        <v>603</v>
      </c>
      <c r="K923" s="15">
        <v>688</v>
      </c>
      <c r="L923" s="15">
        <f ca="1">RANDBETWEEN(30,87)</f>
        <v>85</v>
      </c>
      <c r="M923" s="11">
        <f ca="1">(L923/J923)</f>
        <v>0.14096185737976782</v>
      </c>
      <c r="N923" s="18">
        <v>63</v>
      </c>
      <c r="O923" s="18" t="str">
        <f t="shared" ca="1" si="59"/>
        <v>Understocked</v>
      </c>
      <c r="P923" s="11" t="str">
        <f ca="1">RANDBETWEEN(30,76)&amp;"%"</f>
        <v>42%</v>
      </c>
      <c r="Q923" s="18">
        <f>PRODUCT(K923,N923)</f>
        <v>43344</v>
      </c>
    </row>
    <row r="924" spans="1:17" x14ac:dyDescent="0.45">
      <c r="A924" s="6" t="s">
        <v>334</v>
      </c>
      <c r="B924" s="9" t="s">
        <v>330</v>
      </c>
      <c r="C924" s="6" t="s">
        <v>32</v>
      </c>
      <c r="D924" s="18">
        <f ca="1">RANDBETWEEN(500,1000)</f>
        <v>724</v>
      </c>
      <c r="E924" s="19">
        <v>45363</v>
      </c>
      <c r="F924" s="18">
        <v>56</v>
      </c>
      <c r="G924" s="20">
        <v>0.88</v>
      </c>
      <c r="H924" s="18">
        <f t="shared" ca="1" si="57"/>
        <v>59</v>
      </c>
      <c r="I924" s="18">
        <f t="shared" ca="1" si="58"/>
        <v>86</v>
      </c>
      <c r="J924" s="15">
        <f ca="1">K924-L924</f>
        <v>131</v>
      </c>
      <c r="K924" s="15">
        <v>172</v>
      </c>
      <c r="L924" s="15">
        <f ca="1">RANDBETWEEN(30,87)</f>
        <v>41</v>
      </c>
      <c r="M924" s="11">
        <f ca="1">(L924/J924)</f>
        <v>0.31297709923664124</v>
      </c>
      <c r="N924" s="18">
        <v>99</v>
      </c>
      <c r="O924" s="18" t="str">
        <f t="shared" ca="1" si="59"/>
        <v>Understocked</v>
      </c>
      <c r="P924" s="11" t="str">
        <f ca="1">RANDBETWEEN(30,76)&amp;"%"</f>
        <v>70%</v>
      </c>
      <c r="Q924" s="18">
        <f>PRODUCT(K924,N924)</f>
        <v>17028</v>
      </c>
    </row>
    <row r="925" spans="1:17" x14ac:dyDescent="0.45">
      <c r="A925" s="6" t="s">
        <v>335</v>
      </c>
      <c r="B925" s="9" t="s">
        <v>330</v>
      </c>
      <c r="C925" s="6" t="s">
        <v>32</v>
      </c>
      <c r="D925" s="18">
        <f ca="1">RANDBETWEEN(500,1000)</f>
        <v>748</v>
      </c>
      <c r="E925" s="19">
        <v>45583</v>
      </c>
      <c r="F925" s="18">
        <v>16</v>
      </c>
      <c r="G925" s="20">
        <v>0.56999999999999995</v>
      </c>
      <c r="H925" s="18">
        <f t="shared" ca="1" si="57"/>
        <v>51</v>
      </c>
      <c r="I925" s="18">
        <f t="shared" ca="1" si="58"/>
        <v>79</v>
      </c>
      <c r="J925" s="15">
        <f ca="1">K925-L925</f>
        <v>257</v>
      </c>
      <c r="K925" s="15">
        <v>344</v>
      </c>
      <c r="L925" s="15">
        <f ca="1">RANDBETWEEN(30,87)</f>
        <v>87</v>
      </c>
      <c r="M925" s="11">
        <f ca="1">(L925/J925)</f>
        <v>0.33852140077821014</v>
      </c>
      <c r="N925" s="18">
        <v>81</v>
      </c>
      <c r="O925" s="18" t="str">
        <f t="shared" ca="1" si="59"/>
        <v>Understocked</v>
      </c>
      <c r="P925" s="11" t="str">
        <f ca="1">RANDBETWEEN(30,76)&amp;"%"</f>
        <v>47%</v>
      </c>
      <c r="Q925" s="18">
        <f>PRODUCT(K925,N925)</f>
        <v>27864</v>
      </c>
    </row>
    <row r="926" spans="1:17" x14ac:dyDescent="0.45">
      <c r="A926" s="6" t="s">
        <v>336</v>
      </c>
      <c r="B926" s="9" t="s">
        <v>330</v>
      </c>
      <c r="C926" s="6" t="s">
        <v>32</v>
      </c>
      <c r="D926" s="18">
        <f ca="1">RANDBETWEEN(500,1000)</f>
        <v>804</v>
      </c>
      <c r="E926" s="19">
        <v>45486</v>
      </c>
      <c r="F926" s="18">
        <v>31</v>
      </c>
      <c r="G926" s="20">
        <v>0.76</v>
      </c>
      <c r="H926" s="18">
        <f t="shared" ca="1" si="57"/>
        <v>73</v>
      </c>
      <c r="I926" s="18">
        <f t="shared" ca="1" si="58"/>
        <v>143</v>
      </c>
      <c r="J926" s="15">
        <f ca="1">K926-L926</f>
        <v>139</v>
      </c>
      <c r="K926" s="15">
        <v>215</v>
      </c>
      <c r="L926" s="15">
        <f ca="1">RANDBETWEEN(30,87)</f>
        <v>76</v>
      </c>
      <c r="M926" s="11">
        <f ca="1">(L926/J926)</f>
        <v>0.5467625899280576</v>
      </c>
      <c r="N926" s="18">
        <v>41</v>
      </c>
      <c r="O926" s="18" t="str">
        <f t="shared" ca="1" si="59"/>
        <v>Understocked</v>
      </c>
      <c r="P926" s="11" t="str">
        <f ca="1">RANDBETWEEN(30,76)&amp;"%"</f>
        <v>67%</v>
      </c>
      <c r="Q926" s="18">
        <f>PRODUCT(K926,N926)</f>
        <v>8815</v>
      </c>
    </row>
    <row r="927" spans="1:17" x14ac:dyDescent="0.45">
      <c r="A927" s="6" t="s">
        <v>524</v>
      </c>
      <c r="B927" s="9" t="s">
        <v>525</v>
      </c>
      <c r="C927" s="6" t="s">
        <v>32</v>
      </c>
      <c r="D927" s="18">
        <f ca="1">RANDBETWEEN(500,1000)</f>
        <v>685</v>
      </c>
      <c r="E927" s="19">
        <v>45568</v>
      </c>
      <c r="F927" s="18">
        <v>75</v>
      </c>
      <c r="G927" s="20">
        <v>0.81</v>
      </c>
      <c r="H927" s="18">
        <f t="shared" ca="1" si="57"/>
        <v>58</v>
      </c>
      <c r="I927" s="18">
        <f t="shared" ca="1" si="58"/>
        <v>148</v>
      </c>
      <c r="J927" s="15">
        <f ca="1">K927-L927</f>
        <v>339.5</v>
      </c>
      <c r="K927" s="15">
        <v>408.5</v>
      </c>
      <c r="L927" s="15">
        <f ca="1">RANDBETWEEN(30,87)</f>
        <v>69</v>
      </c>
      <c r="M927" s="11">
        <f ca="1">(L927/J927)</f>
        <v>0.203240058910162</v>
      </c>
      <c r="N927" s="18">
        <v>49</v>
      </c>
      <c r="O927" s="18" t="str">
        <f t="shared" ca="1" si="59"/>
        <v>Optimal</v>
      </c>
      <c r="P927" s="11" t="str">
        <f ca="1">RANDBETWEEN(30,76)&amp;"%"</f>
        <v>30%</v>
      </c>
      <c r="Q927" s="18">
        <f>PRODUCT(K927,N927)</f>
        <v>20016.5</v>
      </c>
    </row>
    <row r="928" spans="1:17" x14ac:dyDescent="0.45">
      <c r="A928" s="6" t="s">
        <v>526</v>
      </c>
      <c r="B928" s="9" t="s">
        <v>525</v>
      </c>
      <c r="C928" s="6" t="s">
        <v>32</v>
      </c>
      <c r="D928" s="18">
        <f ca="1">RANDBETWEEN(500,1000)</f>
        <v>767</v>
      </c>
      <c r="E928" s="19">
        <v>45465</v>
      </c>
      <c r="F928" s="18">
        <v>93</v>
      </c>
      <c r="G928" s="20">
        <v>0.51</v>
      </c>
      <c r="H928" s="18">
        <f t="shared" ca="1" si="57"/>
        <v>56</v>
      </c>
      <c r="I928" s="18">
        <f t="shared" ca="1" si="58"/>
        <v>85</v>
      </c>
      <c r="J928" s="15">
        <f ca="1">K928-L928</f>
        <v>377</v>
      </c>
      <c r="K928" s="15">
        <v>430</v>
      </c>
      <c r="L928" s="15">
        <f ca="1">RANDBETWEEN(30,87)</f>
        <v>53</v>
      </c>
      <c r="M928" s="11">
        <f ca="1">(L928/J928)</f>
        <v>0.14058355437665782</v>
      </c>
      <c r="N928" s="18">
        <v>78</v>
      </c>
      <c r="O928" s="18" t="str">
        <f t="shared" ca="1" si="59"/>
        <v>Optimal</v>
      </c>
      <c r="P928" s="11" t="str">
        <f ca="1">RANDBETWEEN(30,76)&amp;"%"</f>
        <v>51%</v>
      </c>
      <c r="Q928" s="18">
        <f>PRODUCT(K928,N928)</f>
        <v>33540</v>
      </c>
    </row>
    <row r="929" spans="1:17" x14ac:dyDescent="0.45">
      <c r="A929" s="6" t="s">
        <v>527</v>
      </c>
      <c r="B929" s="9" t="s">
        <v>525</v>
      </c>
      <c r="C929" s="6" t="s">
        <v>32</v>
      </c>
      <c r="D929" s="18">
        <f ca="1">RANDBETWEEN(500,1000)</f>
        <v>780</v>
      </c>
      <c r="E929" s="19">
        <v>45449</v>
      </c>
      <c r="F929" s="18">
        <v>11</v>
      </c>
      <c r="G929" s="20">
        <v>0.8</v>
      </c>
      <c r="H929" s="18">
        <f t="shared" ca="1" si="57"/>
        <v>57</v>
      </c>
      <c r="I929" s="18">
        <f t="shared" ca="1" si="58"/>
        <v>185</v>
      </c>
      <c r="J929" s="15">
        <f ca="1">K929-L929</f>
        <v>782</v>
      </c>
      <c r="K929" s="15">
        <v>860</v>
      </c>
      <c r="L929" s="15">
        <f ca="1">RANDBETWEEN(30,87)</f>
        <v>78</v>
      </c>
      <c r="M929" s="11">
        <f ca="1">(L929/J929)</f>
        <v>9.9744245524296671E-2</v>
      </c>
      <c r="N929" s="18">
        <v>86</v>
      </c>
      <c r="O929" s="18" t="str">
        <f t="shared" ca="1" si="59"/>
        <v>Understocked</v>
      </c>
      <c r="P929" s="11" t="str">
        <f ca="1">RANDBETWEEN(30,76)&amp;"%"</f>
        <v>44%</v>
      </c>
      <c r="Q929" s="18">
        <f>PRODUCT(K929,N929)</f>
        <v>73960</v>
      </c>
    </row>
    <row r="930" spans="1:17" x14ac:dyDescent="0.45">
      <c r="A930" s="6" t="s">
        <v>528</v>
      </c>
      <c r="B930" s="9" t="s">
        <v>525</v>
      </c>
      <c r="C930" s="6" t="s">
        <v>32</v>
      </c>
      <c r="D930" s="18">
        <f ca="1">RANDBETWEEN(500,1000)</f>
        <v>660</v>
      </c>
      <c r="E930" s="19">
        <v>45531</v>
      </c>
      <c r="F930" s="18">
        <v>61</v>
      </c>
      <c r="G930" s="20">
        <v>0.35</v>
      </c>
      <c r="H930" s="18">
        <f t="shared" ca="1" si="57"/>
        <v>71</v>
      </c>
      <c r="I930" s="18">
        <f t="shared" ca="1" si="58"/>
        <v>107</v>
      </c>
      <c r="J930" s="15">
        <f ca="1">K930-L930</f>
        <v>123</v>
      </c>
      <c r="K930" s="15">
        <v>172</v>
      </c>
      <c r="L930" s="15">
        <f ca="1">RANDBETWEEN(30,87)</f>
        <v>49</v>
      </c>
      <c r="M930" s="11">
        <f ca="1">(L930/J930)</f>
        <v>0.3983739837398374</v>
      </c>
      <c r="N930" s="18">
        <v>34</v>
      </c>
      <c r="O930" s="18" t="str">
        <f t="shared" ca="1" si="59"/>
        <v>Understocked</v>
      </c>
      <c r="P930" s="11" t="str">
        <f ca="1">RANDBETWEEN(30,76)&amp;"%"</f>
        <v>41%</v>
      </c>
      <c r="Q930" s="18">
        <f>PRODUCT(K930,N930)</f>
        <v>5848</v>
      </c>
    </row>
    <row r="931" spans="1:17" x14ac:dyDescent="0.45">
      <c r="A931" s="6" t="s">
        <v>529</v>
      </c>
      <c r="B931" s="9" t="s">
        <v>525</v>
      </c>
      <c r="C931" s="6" t="s">
        <v>32</v>
      </c>
      <c r="D931" s="18">
        <f ca="1">RANDBETWEEN(500,1000)</f>
        <v>667</v>
      </c>
      <c r="E931" s="19">
        <v>45405</v>
      </c>
      <c r="F931" s="18">
        <v>84</v>
      </c>
      <c r="G931" s="20">
        <v>0.89</v>
      </c>
      <c r="H931" s="18">
        <f t="shared" ca="1" si="57"/>
        <v>66</v>
      </c>
      <c r="I931" s="18">
        <f t="shared" ca="1" si="58"/>
        <v>95</v>
      </c>
      <c r="J931" s="15">
        <f ca="1">K931-L931</f>
        <v>170</v>
      </c>
      <c r="K931" s="15">
        <v>215</v>
      </c>
      <c r="L931" s="15">
        <f ca="1">RANDBETWEEN(30,87)</f>
        <v>45</v>
      </c>
      <c r="M931" s="11">
        <f ca="1">(L931/J931)</f>
        <v>0.26470588235294118</v>
      </c>
      <c r="N931" s="18">
        <v>60</v>
      </c>
      <c r="O931" s="18" t="str">
        <f t="shared" ca="1" si="59"/>
        <v>Optimal</v>
      </c>
      <c r="P931" s="11" t="str">
        <f ca="1">RANDBETWEEN(30,76)&amp;"%"</f>
        <v>43%</v>
      </c>
      <c r="Q931" s="18">
        <f>PRODUCT(K931,N931)</f>
        <v>12900</v>
      </c>
    </row>
    <row r="932" spans="1:17" x14ac:dyDescent="0.45">
      <c r="A932" s="6" t="s">
        <v>530</v>
      </c>
      <c r="B932" s="9" t="s">
        <v>525</v>
      </c>
      <c r="C932" s="6" t="s">
        <v>32</v>
      </c>
      <c r="D932" s="18">
        <f ca="1">RANDBETWEEN(500,1000)</f>
        <v>659</v>
      </c>
      <c r="E932" s="19">
        <v>45350</v>
      </c>
      <c r="F932" s="18">
        <v>98</v>
      </c>
      <c r="G932" s="20">
        <v>0.69</v>
      </c>
      <c r="H932" s="18">
        <f t="shared" ca="1" si="57"/>
        <v>66</v>
      </c>
      <c r="I932" s="18">
        <f t="shared" ca="1" si="58"/>
        <v>123</v>
      </c>
      <c r="J932" s="15">
        <f ca="1">K932-L932</f>
        <v>870</v>
      </c>
      <c r="K932" s="15">
        <v>903</v>
      </c>
      <c r="L932" s="15">
        <f ca="1">RANDBETWEEN(30,87)</f>
        <v>33</v>
      </c>
      <c r="M932" s="11">
        <f ca="1">(L932/J932)</f>
        <v>3.793103448275862E-2</v>
      </c>
      <c r="N932" s="18">
        <v>53</v>
      </c>
      <c r="O932" s="18" t="str">
        <f t="shared" ca="1" si="59"/>
        <v>Optimal</v>
      </c>
      <c r="P932" s="11" t="str">
        <f ca="1">RANDBETWEEN(30,76)&amp;"%"</f>
        <v>76%</v>
      </c>
      <c r="Q932" s="18">
        <f>PRODUCT(K932,N932)</f>
        <v>47859</v>
      </c>
    </row>
    <row r="933" spans="1:17" x14ac:dyDescent="0.45">
      <c r="A933" s="6" t="s">
        <v>532</v>
      </c>
      <c r="B933" s="9" t="s">
        <v>525</v>
      </c>
      <c r="C933" s="6" t="s">
        <v>32</v>
      </c>
      <c r="D933" s="18">
        <f ca="1">RANDBETWEEN(500,1000)</f>
        <v>803</v>
      </c>
      <c r="E933" s="19">
        <v>45396</v>
      </c>
      <c r="F933" s="18">
        <v>67</v>
      </c>
      <c r="G933" s="20">
        <v>0.4</v>
      </c>
      <c r="H933" s="18">
        <f t="shared" ca="1" si="57"/>
        <v>72</v>
      </c>
      <c r="I933" s="18">
        <f t="shared" ca="1" si="58"/>
        <v>89</v>
      </c>
      <c r="J933" s="15">
        <f ca="1">K933-L933</f>
        <v>109.80000000000001</v>
      </c>
      <c r="K933" s="15">
        <v>154.80000000000001</v>
      </c>
      <c r="L933" s="15">
        <f ca="1">RANDBETWEEN(30,87)</f>
        <v>45</v>
      </c>
      <c r="M933" s="11">
        <f ca="1">(L933/J933)</f>
        <v>0.40983606557377045</v>
      </c>
      <c r="N933" s="18">
        <v>76</v>
      </c>
      <c r="O933" s="18" t="str">
        <f t="shared" ca="1" si="59"/>
        <v>Understocked</v>
      </c>
      <c r="P933" s="11" t="str">
        <f ca="1">RANDBETWEEN(30,76)&amp;"%"</f>
        <v>58%</v>
      </c>
      <c r="Q933" s="18">
        <f>PRODUCT(K933,N933)</f>
        <v>11764.800000000001</v>
      </c>
    </row>
    <row r="934" spans="1:17" x14ac:dyDescent="0.45">
      <c r="A934" s="6" t="s">
        <v>533</v>
      </c>
      <c r="B934" s="9" t="s">
        <v>525</v>
      </c>
      <c r="C934" s="6" t="s">
        <v>32</v>
      </c>
      <c r="D934" s="18">
        <f ca="1">RANDBETWEEN(500,1000)</f>
        <v>817</v>
      </c>
      <c r="E934" s="19">
        <v>45524</v>
      </c>
      <c r="F934" s="18">
        <v>17</v>
      </c>
      <c r="G934" s="20">
        <v>0.53</v>
      </c>
      <c r="H934" s="18">
        <f t="shared" ca="1" si="57"/>
        <v>67</v>
      </c>
      <c r="I934" s="18">
        <f t="shared" ca="1" si="58"/>
        <v>75</v>
      </c>
      <c r="J934" s="15">
        <f ca="1">K934-L934</f>
        <v>132.6</v>
      </c>
      <c r="K934" s="15">
        <v>180.6</v>
      </c>
      <c r="L934" s="15">
        <f ca="1">RANDBETWEEN(30,87)</f>
        <v>48</v>
      </c>
      <c r="M934" s="11">
        <f ca="1">(L934/J934)</f>
        <v>0.36199095022624433</v>
      </c>
      <c r="N934" s="18">
        <v>100</v>
      </c>
      <c r="O934" s="18" t="str">
        <f t="shared" ca="1" si="59"/>
        <v>Understocked</v>
      </c>
      <c r="P934" s="11" t="str">
        <f ca="1">RANDBETWEEN(30,76)&amp;"%"</f>
        <v>44%</v>
      </c>
      <c r="Q934" s="18">
        <f>PRODUCT(K934,N934)</f>
        <v>18060</v>
      </c>
    </row>
    <row r="935" spans="1:17" x14ac:dyDescent="0.45">
      <c r="A935" s="6" t="s">
        <v>535</v>
      </c>
      <c r="B935" s="9" t="s">
        <v>525</v>
      </c>
      <c r="C935" s="6" t="s">
        <v>32</v>
      </c>
      <c r="D935" s="18">
        <f ca="1">RANDBETWEEN(500,1000)</f>
        <v>601</v>
      </c>
      <c r="E935" s="19">
        <v>45470</v>
      </c>
      <c r="F935" s="18">
        <v>76</v>
      </c>
      <c r="G935" s="20">
        <v>0.77</v>
      </c>
      <c r="H935" s="18">
        <f t="shared" ca="1" si="57"/>
        <v>50</v>
      </c>
      <c r="I935" s="18">
        <f t="shared" ca="1" si="58"/>
        <v>199</v>
      </c>
      <c r="J935" s="15">
        <f ca="1">K935-L935</f>
        <v>117</v>
      </c>
      <c r="K935" s="15">
        <v>172</v>
      </c>
      <c r="L935" s="15">
        <f ca="1">RANDBETWEEN(30,87)</f>
        <v>55</v>
      </c>
      <c r="M935" s="11">
        <f ca="1">(L935/J935)</f>
        <v>0.47008547008547008</v>
      </c>
      <c r="N935" s="18">
        <v>52</v>
      </c>
      <c r="O935" s="18" t="str">
        <f t="shared" ca="1" si="59"/>
        <v>Optimal</v>
      </c>
      <c r="P935" s="11" t="str">
        <f ca="1">RANDBETWEEN(30,76)&amp;"%"</f>
        <v>50%</v>
      </c>
      <c r="Q935" s="18">
        <f>PRODUCT(K935,N935)</f>
        <v>8944</v>
      </c>
    </row>
    <row r="936" spans="1:17" x14ac:dyDescent="0.45">
      <c r="A936" s="6" t="s">
        <v>536</v>
      </c>
      <c r="B936" s="9" t="s">
        <v>525</v>
      </c>
      <c r="C936" s="6" t="s">
        <v>32</v>
      </c>
      <c r="D936" s="18">
        <f ca="1">RANDBETWEEN(500,1000)</f>
        <v>627</v>
      </c>
      <c r="E936" s="19">
        <v>45687</v>
      </c>
      <c r="F936" s="18">
        <v>30</v>
      </c>
      <c r="G936" s="20">
        <v>0.78</v>
      </c>
      <c r="H936" s="18">
        <f t="shared" ca="1" si="57"/>
        <v>50</v>
      </c>
      <c r="I936" s="18">
        <f t="shared" ca="1" si="58"/>
        <v>97</v>
      </c>
      <c r="J936" s="15">
        <f ca="1">K936-L936</f>
        <v>163</v>
      </c>
      <c r="K936" s="15">
        <v>215</v>
      </c>
      <c r="L936" s="15">
        <f ca="1">RANDBETWEEN(30,87)</f>
        <v>52</v>
      </c>
      <c r="M936" s="11">
        <f ca="1">(L936/J936)</f>
        <v>0.31901840490797545</v>
      </c>
      <c r="N936" s="18">
        <v>99</v>
      </c>
      <c r="O936" s="18" t="str">
        <f t="shared" ca="1" si="59"/>
        <v>Understocked</v>
      </c>
      <c r="P936" s="11" t="str">
        <f ca="1">RANDBETWEEN(30,76)&amp;"%"</f>
        <v>34%</v>
      </c>
      <c r="Q936" s="18">
        <f>PRODUCT(K936,N936)</f>
        <v>21285</v>
      </c>
    </row>
    <row r="937" spans="1:17" x14ac:dyDescent="0.45">
      <c r="A937" s="6" t="s">
        <v>537</v>
      </c>
      <c r="B937" s="9" t="s">
        <v>525</v>
      </c>
      <c r="C937" s="6" t="s">
        <v>32</v>
      </c>
      <c r="D937" s="18">
        <f ca="1">RANDBETWEEN(500,1000)</f>
        <v>907</v>
      </c>
      <c r="E937" s="19">
        <v>45441</v>
      </c>
      <c r="F937" s="18">
        <v>79</v>
      </c>
      <c r="G937" s="20">
        <v>0.35</v>
      </c>
      <c r="H937" s="18">
        <f t="shared" ca="1" si="57"/>
        <v>66</v>
      </c>
      <c r="I937" s="18">
        <f t="shared" ca="1" si="58"/>
        <v>88</v>
      </c>
      <c r="J937" s="15">
        <f ca="1">K937-L937</f>
        <v>184</v>
      </c>
      <c r="K937" s="15">
        <v>258</v>
      </c>
      <c r="L937" s="15">
        <f ca="1">RANDBETWEEN(30,87)</f>
        <v>74</v>
      </c>
      <c r="M937" s="11">
        <f ca="1">(L937/J937)</f>
        <v>0.40217391304347827</v>
      </c>
      <c r="N937" s="18">
        <v>45</v>
      </c>
      <c r="O937" s="18" t="str">
        <f t="shared" ca="1" si="59"/>
        <v>Optimal</v>
      </c>
      <c r="P937" s="11" t="str">
        <f ca="1">RANDBETWEEN(30,76)&amp;"%"</f>
        <v>49%</v>
      </c>
      <c r="Q937" s="18">
        <f>PRODUCT(K937,N937)</f>
        <v>11610</v>
      </c>
    </row>
    <row r="938" spans="1:17" x14ac:dyDescent="0.45">
      <c r="A938" s="6" t="s">
        <v>538</v>
      </c>
      <c r="B938" s="9" t="s">
        <v>525</v>
      </c>
      <c r="C938" s="6" t="s">
        <v>32</v>
      </c>
      <c r="D938" s="18">
        <f ca="1">RANDBETWEEN(500,1000)</f>
        <v>581</v>
      </c>
      <c r="E938" s="19">
        <v>45497</v>
      </c>
      <c r="F938" s="18">
        <v>43</v>
      </c>
      <c r="G938" s="20">
        <v>0.7</v>
      </c>
      <c r="H938" s="18">
        <f t="shared" ca="1" si="57"/>
        <v>64</v>
      </c>
      <c r="I938" s="18">
        <f t="shared" ca="1" si="58"/>
        <v>113</v>
      </c>
      <c r="J938" s="15">
        <f ca="1">K938-L938</f>
        <v>651</v>
      </c>
      <c r="K938" s="15">
        <v>688</v>
      </c>
      <c r="L938" s="15">
        <f ca="1">RANDBETWEEN(30,87)</f>
        <v>37</v>
      </c>
      <c r="M938" s="11">
        <f ca="1">(L938/J938)</f>
        <v>5.683563748079877E-2</v>
      </c>
      <c r="N938" s="18">
        <v>66</v>
      </c>
      <c r="O938" s="18" t="str">
        <f t="shared" ca="1" si="59"/>
        <v>Understocked</v>
      </c>
      <c r="P938" s="11" t="str">
        <f ca="1">RANDBETWEEN(30,76)&amp;"%"</f>
        <v>42%</v>
      </c>
      <c r="Q938" s="18">
        <f>PRODUCT(K938,N938)</f>
        <v>45408</v>
      </c>
    </row>
    <row r="939" spans="1:17" x14ac:dyDescent="0.45">
      <c r="A939" s="6" t="s">
        <v>539</v>
      </c>
      <c r="B939" s="9" t="s">
        <v>540</v>
      </c>
      <c r="C939" s="6" t="s">
        <v>32</v>
      </c>
      <c r="D939" s="18">
        <f ca="1">RANDBETWEEN(500,1000)</f>
        <v>690</v>
      </c>
      <c r="E939" s="19">
        <v>45633</v>
      </c>
      <c r="F939" s="18">
        <v>47</v>
      </c>
      <c r="G939" s="20">
        <v>0.68</v>
      </c>
      <c r="H939" s="18">
        <f t="shared" ca="1" si="57"/>
        <v>53</v>
      </c>
      <c r="I939" s="18">
        <f t="shared" ca="1" si="58"/>
        <v>102</v>
      </c>
      <c r="J939" s="15">
        <f ca="1">K939-L939</f>
        <v>84</v>
      </c>
      <c r="K939" s="15">
        <v>129</v>
      </c>
      <c r="L939" s="15">
        <f ca="1">RANDBETWEEN(30,87)</f>
        <v>45</v>
      </c>
      <c r="M939" s="11">
        <f ca="1">(L939/J939)</f>
        <v>0.5357142857142857</v>
      </c>
      <c r="N939" s="18">
        <v>61</v>
      </c>
      <c r="O939" s="18" t="str">
        <f t="shared" ca="1" si="59"/>
        <v>Understocked</v>
      </c>
      <c r="P939" s="11" t="str">
        <f ca="1">RANDBETWEEN(30,76)&amp;"%"</f>
        <v>35%</v>
      </c>
      <c r="Q939" s="18">
        <f>PRODUCT(K939,N939)</f>
        <v>7869</v>
      </c>
    </row>
    <row r="940" spans="1:17" x14ac:dyDescent="0.45">
      <c r="A940" s="6" t="s">
        <v>542</v>
      </c>
      <c r="B940" s="9" t="s">
        <v>540</v>
      </c>
      <c r="C940" s="6" t="s">
        <v>32</v>
      </c>
      <c r="D940" s="18">
        <f ca="1">RANDBETWEEN(500,1000)</f>
        <v>659</v>
      </c>
      <c r="E940" s="19">
        <v>45429</v>
      </c>
      <c r="F940" s="18">
        <v>82</v>
      </c>
      <c r="G940" s="20">
        <v>0.85</v>
      </c>
      <c r="H940" s="18">
        <f t="shared" ca="1" si="57"/>
        <v>79</v>
      </c>
      <c r="I940" s="18">
        <f t="shared" ca="1" si="58"/>
        <v>163</v>
      </c>
      <c r="J940" s="15">
        <f ca="1">K940-L940</f>
        <v>120.79999999999998</v>
      </c>
      <c r="K940" s="15">
        <v>197.79999999999998</v>
      </c>
      <c r="L940" s="15">
        <f ca="1">RANDBETWEEN(30,87)</f>
        <v>77</v>
      </c>
      <c r="M940" s="11">
        <f ca="1">(L940/J940)</f>
        <v>0.63741721854304645</v>
      </c>
      <c r="N940" s="18">
        <v>66</v>
      </c>
      <c r="O940" s="18" t="str">
        <f t="shared" ca="1" si="59"/>
        <v>Optimal</v>
      </c>
      <c r="P940" s="11" t="str">
        <f ca="1">RANDBETWEEN(30,76)&amp;"%"</f>
        <v>34%</v>
      </c>
      <c r="Q940" s="18">
        <f>PRODUCT(K940,N940)</f>
        <v>13054.8</v>
      </c>
    </row>
    <row r="941" spans="1:17" x14ac:dyDescent="0.45">
      <c r="A941" s="6" t="s">
        <v>544</v>
      </c>
      <c r="B941" s="9" t="s">
        <v>540</v>
      </c>
      <c r="C941" s="6" t="s">
        <v>32</v>
      </c>
      <c r="D941" s="18">
        <f ca="1">RANDBETWEEN(500,1000)</f>
        <v>609</v>
      </c>
      <c r="E941" s="19">
        <v>45489</v>
      </c>
      <c r="F941" s="18">
        <v>40</v>
      </c>
      <c r="G941" s="20">
        <v>0.9</v>
      </c>
      <c r="H941" s="18">
        <f t="shared" ca="1" si="57"/>
        <v>53</v>
      </c>
      <c r="I941" s="18">
        <f t="shared" ca="1" si="58"/>
        <v>185</v>
      </c>
      <c r="J941" s="15">
        <f ca="1">K941-L941</f>
        <v>133</v>
      </c>
      <c r="K941" s="15">
        <v>215</v>
      </c>
      <c r="L941" s="15">
        <f ca="1">RANDBETWEEN(30,87)</f>
        <v>82</v>
      </c>
      <c r="M941" s="11">
        <f ca="1">(L941/J941)</f>
        <v>0.61654135338345861</v>
      </c>
      <c r="N941" s="18">
        <v>39</v>
      </c>
      <c r="O941" s="18" t="str">
        <f t="shared" ca="1" si="59"/>
        <v>Understocked</v>
      </c>
      <c r="P941" s="11" t="str">
        <f ca="1">RANDBETWEEN(30,76)&amp;"%"</f>
        <v>55%</v>
      </c>
      <c r="Q941" s="18">
        <f>PRODUCT(K941,N941)</f>
        <v>8385</v>
      </c>
    </row>
    <row r="942" spans="1:17" x14ac:dyDescent="0.45">
      <c r="A942" s="6" t="s">
        <v>545</v>
      </c>
      <c r="B942" s="9" t="s">
        <v>540</v>
      </c>
      <c r="C942" s="6" t="s">
        <v>32</v>
      </c>
      <c r="D942" s="18">
        <f ca="1">RANDBETWEEN(500,1000)</f>
        <v>535</v>
      </c>
      <c r="E942" s="19">
        <v>45584</v>
      </c>
      <c r="F942" s="18">
        <v>14</v>
      </c>
      <c r="G942" s="20">
        <v>0.89</v>
      </c>
      <c r="H942" s="18">
        <f t="shared" ca="1" si="57"/>
        <v>68</v>
      </c>
      <c r="I942" s="18">
        <f t="shared" ca="1" si="58"/>
        <v>108</v>
      </c>
      <c r="J942" s="15">
        <f ca="1">K942-L942</f>
        <v>429</v>
      </c>
      <c r="K942" s="15">
        <v>516</v>
      </c>
      <c r="L942" s="15">
        <f ca="1">RANDBETWEEN(30,87)</f>
        <v>87</v>
      </c>
      <c r="M942" s="11">
        <f ca="1">(L942/J942)</f>
        <v>0.20279720279720279</v>
      </c>
      <c r="N942" s="18">
        <v>71</v>
      </c>
      <c r="O942" s="18" t="str">
        <f t="shared" ca="1" si="59"/>
        <v>Understocked</v>
      </c>
      <c r="P942" s="11" t="str">
        <f ca="1">RANDBETWEEN(30,76)&amp;"%"</f>
        <v>40%</v>
      </c>
      <c r="Q942" s="18">
        <f>PRODUCT(K942,N942)</f>
        <v>36636</v>
      </c>
    </row>
    <row r="943" spans="1:17" x14ac:dyDescent="0.45">
      <c r="A943" s="6" t="s">
        <v>546</v>
      </c>
      <c r="B943" s="9" t="s">
        <v>540</v>
      </c>
      <c r="C943" s="6" t="s">
        <v>32</v>
      </c>
      <c r="D943" s="18">
        <f ca="1">RANDBETWEEN(500,1000)</f>
        <v>673</v>
      </c>
      <c r="E943" s="19">
        <v>45386</v>
      </c>
      <c r="F943" s="18">
        <v>35</v>
      </c>
      <c r="G943" s="20">
        <v>0.34</v>
      </c>
      <c r="H943" s="18">
        <f t="shared" ca="1" si="57"/>
        <v>57</v>
      </c>
      <c r="I943" s="18">
        <f t="shared" ca="1" si="58"/>
        <v>87</v>
      </c>
      <c r="J943" s="15">
        <f ca="1">K943-L943</f>
        <v>445</v>
      </c>
      <c r="K943" s="15">
        <v>516</v>
      </c>
      <c r="L943" s="15">
        <f ca="1">RANDBETWEEN(30,87)</f>
        <v>71</v>
      </c>
      <c r="M943" s="11">
        <f ca="1">(L943/J943)</f>
        <v>0.15955056179775282</v>
      </c>
      <c r="N943" s="18">
        <v>74</v>
      </c>
      <c r="O943" s="18" t="str">
        <f t="shared" ca="1" si="59"/>
        <v>Understocked</v>
      </c>
      <c r="P943" s="11" t="str">
        <f ca="1">RANDBETWEEN(30,76)&amp;"%"</f>
        <v>60%</v>
      </c>
      <c r="Q943" s="18">
        <f>PRODUCT(K943,N943)</f>
        <v>38184</v>
      </c>
    </row>
    <row r="944" spans="1:17" x14ac:dyDescent="0.45">
      <c r="A944" s="6" t="s">
        <v>547</v>
      </c>
      <c r="B944" s="9" t="s">
        <v>540</v>
      </c>
      <c r="C944" s="6" t="s">
        <v>32</v>
      </c>
      <c r="D944" s="18">
        <f ca="1">RANDBETWEEN(500,1000)</f>
        <v>887</v>
      </c>
      <c r="E944" s="19">
        <v>45625</v>
      </c>
      <c r="F944" s="18">
        <v>88</v>
      </c>
      <c r="G944" s="20">
        <v>0.86</v>
      </c>
      <c r="H944" s="18">
        <f t="shared" ca="1" si="57"/>
        <v>64</v>
      </c>
      <c r="I944" s="18">
        <f t="shared" ca="1" si="58"/>
        <v>129</v>
      </c>
      <c r="J944" s="15">
        <f ca="1">K944-L944</f>
        <v>144</v>
      </c>
      <c r="K944" s="15">
        <v>215</v>
      </c>
      <c r="L944" s="15">
        <f ca="1">RANDBETWEEN(30,87)</f>
        <v>71</v>
      </c>
      <c r="M944" s="11">
        <f ca="1">(L944/J944)</f>
        <v>0.49305555555555558</v>
      </c>
      <c r="N944" s="18">
        <v>92</v>
      </c>
      <c r="O944" s="18" t="str">
        <f t="shared" ca="1" si="59"/>
        <v>Optimal</v>
      </c>
      <c r="P944" s="11" t="str">
        <f ca="1">RANDBETWEEN(30,76)&amp;"%"</f>
        <v>64%</v>
      </c>
      <c r="Q944" s="18">
        <f>PRODUCT(K944,N944)</f>
        <v>19780</v>
      </c>
    </row>
    <row r="945" spans="1:17" x14ac:dyDescent="0.45">
      <c r="A945" s="6" t="s">
        <v>625</v>
      </c>
      <c r="B945" s="9" t="s">
        <v>626</v>
      </c>
      <c r="C945" s="6" t="s">
        <v>32</v>
      </c>
      <c r="D945" s="18">
        <f ca="1">RANDBETWEEN(500,1000)</f>
        <v>557</v>
      </c>
      <c r="E945" s="19">
        <v>45514</v>
      </c>
      <c r="F945" s="18">
        <v>76</v>
      </c>
      <c r="G945" s="20">
        <v>0.56000000000000005</v>
      </c>
      <c r="H945" s="18">
        <f t="shared" ca="1" si="57"/>
        <v>64</v>
      </c>
      <c r="I945" s="18">
        <f t="shared" ca="1" si="58"/>
        <v>145</v>
      </c>
      <c r="J945" s="15">
        <f ca="1">K945-L945</f>
        <v>277</v>
      </c>
      <c r="K945" s="15">
        <v>344</v>
      </c>
      <c r="L945" s="15">
        <f ca="1">RANDBETWEEN(30,87)</f>
        <v>67</v>
      </c>
      <c r="M945" s="11">
        <f ca="1">(L945/J945)</f>
        <v>0.24187725631768953</v>
      </c>
      <c r="N945" s="18">
        <v>31</v>
      </c>
      <c r="O945" s="18" t="str">
        <f t="shared" ca="1" si="59"/>
        <v>Optimal</v>
      </c>
      <c r="P945" s="11" t="str">
        <f ca="1">RANDBETWEEN(30,76)&amp;"%"</f>
        <v>64%</v>
      </c>
      <c r="Q945" s="18">
        <f>PRODUCT(K945,N945)</f>
        <v>10664</v>
      </c>
    </row>
    <row r="946" spans="1:17" x14ac:dyDescent="0.45">
      <c r="A946" s="6" t="s">
        <v>627</v>
      </c>
      <c r="B946" s="9" t="s">
        <v>626</v>
      </c>
      <c r="C946" s="6" t="s">
        <v>32</v>
      </c>
      <c r="D946" s="18">
        <f ca="1">RANDBETWEEN(500,1000)</f>
        <v>663</v>
      </c>
      <c r="E946" s="19">
        <v>45503</v>
      </c>
      <c r="F946" s="18">
        <v>89</v>
      </c>
      <c r="G946" s="20">
        <v>0.47</v>
      </c>
      <c r="H946" s="18">
        <f t="shared" ca="1" si="57"/>
        <v>79</v>
      </c>
      <c r="I946" s="18">
        <f t="shared" ca="1" si="58"/>
        <v>100</v>
      </c>
      <c r="J946" s="15">
        <f ca="1">K946-L946</f>
        <v>130</v>
      </c>
      <c r="K946" s="15">
        <v>172</v>
      </c>
      <c r="L946" s="15">
        <f ca="1">RANDBETWEEN(30,87)</f>
        <v>42</v>
      </c>
      <c r="M946" s="11">
        <f ca="1">(L946/J946)</f>
        <v>0.32307692307692309</v>
      </c>
      <c r="N946" s="18">
        <v>48</v>
      </c>
      <c r="O946" s="18" t="str">
        <f t="shared" ca="1" si="59"/>
        <v>Optimal</v>
      </c>
      <c r="P946" s="11" t="str">
        <f ca="1">RANDBETWEEN(30,76)&amp;"%"</f>
        <v>58%</v>
      </c>
      <c r="Q946" s="18">
        <f>PRODUCT(K946,N946)</f>
        <v>8256</v>
      </c>
    </row>
    <row r="947" spans="1:17" x14ac:dyDescent="0.45">
      <c r="A947" s="6" t="s">
        <v>628</v>
      </c>
      <c r="B947" s="9" t="s">
        <v>626</v>
      </c>
      <c r="C947" s="6" t="s">
        <v>32</v>
      </c>
      <c r="D947" s="18">
        <f ca="1">RANDBETWEEN(500,1000)</f>
        <v>614</v>
      </c>
      <c r="E947" s="19">
        <v>45515</v>
      </c>
      <c r="F947" s="18">
        <v>91</v>
      </c>
      <c r="G947" s="20">
        <v>0.47</v>
      </c>
      <c r="H947" s="18">
        <f t="shared" ca="1" si="57"/>
        <v>76</v>
      </c>
      <c r="I947" s="18">
        <f t="shared" ca="1" si="58"/>
        <v>75</v>
      </c>
      <c r="J947" s="15">
        <f ca="1">K947-L947</f>
        <v>288.10000000000002</v>
      </c>
      <c r="K947" s="15">
        <v>331.1</v>
      </c>
      <c r="L947" s="15">
        <f ca="1">RANDBETWEEN(30,87)</f>
        <v>43</v>
      </c>
      <c r="M947" s="11">
        <f ca="1">(L947/J947)</f>
        <v>0.14925373134328357</v>
      </c>
      <c r="N947" s="18">
        <v>90</v>
      </c>
      <c r="O947" s="18" t="str">
        <f t="shared" ca="1" si="59"/>
        <v>Optimal</v>
      </c>
      <c r="P947" s="11" t="str">
        <f ca="1">RANDBETWEEN(30,76)&amp;"%"</f>
        <v>43%</v>
      </c>
      <c r="Q947" s="18">
        <f>PRODUCT(K947,N947)</f>
        <v>29799.000000000004</v>
      </c>
    </row>
    <row r="948" spans="1:17" x14ac:dyDescent="0.45">
      <c r="A948" s="6" t="s">
        <v>630</v>
      </c>
      <c r="B948" s="9" t="s">
        <v>626</v>
      </c>
      <c r="C948" s="6" t="s">
        <v>32</v>
      </c>
      <c r="D948" s="18">
        <f ca="1">RANDBETWEEN(500,1000)</f>
        <v>993</v>
      </c>
      <c r="E948" s="19">
        <v>45578</v>
      </c>
      <c r="F948" s="18">
        <v>30</v>
      </c>
      <c r="G948" s="20">
        <v>0.38</v>
      </c>
      <c r="H948" s="18">
        <f t="shared" ca="1" si="57"/>
        <v>55</v>
      </c>
      <c r="I948" s="18">
        <f t="shared" ca="1" si="58"/>
        <v>170</v>
      </c>
      <c r="J948" s="15">
        <f ca="1">K948-L948</f>
        <v>93</v>
      </c>
      <c r="K948" s="15">
        <v>172</v>
      </c>
      <c r="L948" s="15">
        <f ca="1">RANDBETWEEN(30,87)</f>
        <v>79</v>
      </c>
      <c r="M948" s="11">
        <f ca="1">(L948/J948)</f>
        <v>0.84946236559139787</v>
      </c>
      <c r="N948" s="18">
        <v>80</v>
      </c>
      <c r="O948" s="18" t="str">
        <f t="shared" ca="1" si="59"/>
        <v>Understocked</v>
      </c>
      <c r="P948" s="11" t="str">
        <f ca="1">RANDBETWEEN(30,76)&amp;"%"</f>
        <v>55%</v>
      </c>
      <c r="Q948" s="18">
        <f>PRODUCT(K948,N948)</f>
        <v>13760</v>
      </c>
    </row>
    <row r="949" spans="1:17" x14ac:dyDescent="0.45">
      <c r="A949" s="6" t="s">
        <v>631</v>
      </c>
      <c r="B949" s="9" t="s">
        <v>626</v>
      </c>
      <c r="C949" s="6" t="s">
        <v>32</v>
      </c>
      <c r="D949" s="18">
        <f ca="1">RANDBETWEEN(500,1000)</f>
        <v>787</v>
      </c>
      <c r="E949" s="19">
        <v>45530</v>
      </c>
      <c r="F949" s="18">
        <v>45</v>
      </c>
      <c r="G949" s="20">
        <v>0.57999999999999996</v>
      </c>
      <c r="H949" s="18">
        <f t="shared" ca="1" si="57"/>
        <v>77</v>
      </c>
      <c r="I949" s="18">
        <f t="shared" ca="1" si="58"/>
        <v>106</v>
      </c>
      <c r="J949" s="15">
        <f ca="1">K949-L949</f>
        <v>475.5</v>
      </c>
      <c r="K949" s="15">
        <v>537.5</v>
      </c>
      <c r="L949" s="15">
        <f ca="1">RANDBETWEEN(30,87)</f>
        <v>62</v>
      </c>
      <c r="M949" s="11">
        <f ca="1">(L949/J949)</f>
        <v>0.13038906414300735</v>
      </c>
      <c r="N949" s="18">
        <v>35</v>
      </c>
      <c r="O949" s="18" t="str">
        <f t="shared" ca="1" si="59"/>
        <v>Understocked</v>
      </c>
      <c r="P949" s="11" t="str">
        <f ca="1">RANDBETWEEN(30,76)&amp;"%"</f>
        <v>49%</v>
      </c>
      <c r="Q949" s="18">
        <f>PRODUCT(K949,N949)</f>
        <v>18812.5</v>
      </c>
    </row>
    <row r="950" spans="1:17" x14ac:dyDescent="0.45">
      <c r="A950" s="6" t="s">
        <v>877</v>
      </c>
      <c r="B950" s="9" t="s">
        <v>878</v>
      </c>
      <c r="C950" s="6" t="s">
        <v>32</v>
      </c>
      <c r="D950" s="18">
        <f ca="1">RANDBETWEEN(500,1000)</f>
        <v>623</v>
      </c>
      <c r="E950" s="19">
        <v>45655</v>
      </c>
      <c r="F950" s="18">
        <v>98</v>
      </c>
      <c r="G950" s="20">
        <v>0.41</v>
      </c>
      <c r="H950" s="18">
        <f t="shared" ca="1" si="57"/>
        <v>78</v>
      </c>
      <c r="I950" s="18">
        <f t="shared" ca="1" si="58"/>
        <v>158</v>
      </c>
      <c r="J950" s="15">
        <f ca="1">K950-L950</f>
        <v>465</v>
      </c>
      <c r="K950" s="15">
        <v>516</v>
      </c>
      <c r="L950" s="15">
        <f ca="1">RANDBETWEEN(30,87)</f>
        <v>51</v>
      </c>
      <c r="M950" s="11">
        <f ca="1">(L950/J950)</f>
        <v>0.10967741935483871</v>
      </c>
      <c r="N950" s="18">
        <v>21</v>
      </c>
      <c r="O950" s="18" t="str">
        <f t="shared" ca="1" si="59"/>
        <v>Optimal</v>
      </c>
      <c r="P950" s="11" t="str">
        <f ca="1">RANDBETWEEN(30,76)&amp;"%"</f>
        <v>66%</v>
      </c>
      <c r="Q950" s="18">
        <f>PRODUCT(K950,N950)</f>
        <v>10836</v>
      </c>
    </row>
    <row r="951" spans="1:17" x14ac:dyDescent="0.45">
      <c r="A951" s="6" t="s">
        <v>879</v>
      </c>
      <c r="B951" s="9" t="s">
        <v>878</v>
      </c>
      <c r="C951" s="6" t="s">
        <v>32</v>
      </c>
      <c r="D951" s="18">
        <f ca="1">RANDBETWEEN(500,1000)</f>
        <v>502</v>
      </c>
      <c r="E951" s="19">
        <v>45555</v>
      </c>
      <c r="F951" s="18">
        <v>79</v>
      </c>
      <c r="G951" s="20">
        <v>0.45</v>
      </c>
      <c r="H951" s="18">
        <f t="shared" ca="1" si="57"/>
        <v>65</v>
      </c>
      <c r="I951" s="18">
        <f t="shared" ca="1" si="58"/>
        <v>117</v>
      </c>
      <c r="J951" s="15">
        <f ca="1">K951-L951</f>
        <v>155</v>
      </c>
      <c r="K951" s="15">
        <v>215</v>
      </c>
      <c r="L951" s="15">
        <f ca="1">RANDBETWEEN(30,87)</f>
        <v>60</v>
      </c>
      <c r="M951" s="11">
        <f ca="1">(L951/J951)</f>
        <v>0.38709677419354838</v>
      </c>
      <c r="N951" s="18">
        <v>42</v>
      </c>
      <c r="O951" s="18" t="str">
        <f t="shared" ca="1" si="59"/>
        <v>Optimal</v>
      </c>
      <c r="P951" s="11" t="str">
        <f ca="1">RANDBETWEEN(30,76)&amp;"%"</f>
        <v>58%</v>
      </c>
      <c r="Q951" s="18">
        <f>PRODUCT(K951,N951)</f>
        <v>9030</v>
      </c>
    </row>
    <row r="952" spans="1:17" x14ac:dyDescent="0.45">
      <c r="A952" s="6" t="s">
        <v>880</v>
      </c>
      <c r="B952" s="9" t="s">
        <v>878</v>
      </c>
      <c r="C952" s="6" t="s">
        <v>32</v>
      </c>
      <c r="D952" s="18">
        <f ca="1">RANDBETWEEN(500,1000)</f>
        <v>712</v>
      </c>
      <c r="E952" s="19">
        <v>45447</v>
      </c>
      <c r="F952" s="18">
        <v>52</v>
      </c>
      <c r="G952" s="20">
        <v>0.64</v>
      </c>
      <c r="H952" s="18">
        <f t="shared" ca="1" si="57"/>
        <v>73</v>
      </c>
      <c r="I952" s="18">
        <f t="shared" ca="1" si="58"/>
        <v>103</v>
      </c>
      <c r="J952" s="15">
        <f ca="1">K952-L952</f>
        <v>309</v>
      </c>
      <c r="K952" s="15">
        <v>387</v>
      </c>
      <c r="L952" s="15">
        <f ca="1">RANDBETWEEN(30,87)</f>
        <v>78</v>
      </c>
      <c r="M952" s="11">
        <f ca="1">(L952/J952)</f>
        <v>0.25242718446601942</v>
      </c>
      <c r="N952" s="18">
        <v>43</v>
      </c>
      <c r="O952" s="18" t="str">
        <f t="shared" ca="1" si="59"/>
        <v>Understocked</v>
      </c>
      <c r="P952" s="11" t="str">
        <f ca="1">RANDBETWEEN(30,76)&amp;"%"</f>
        <v>35%</v>
      </c>
      <c r="Q952" s="18">
        <f>PRODUCT(K952,N952)</f>
        <v>16641</v>
      </c>
    </row>
    <row r="953" spans="1:17" hidden="1" x14ac:dyDescent="0.45">
      <c r="A953" s="6" t="s">
        <v>884</v>
      </c>
      <c r="B953" s="9" t="s">
        <v>878</v>
      </c>
      <c r="C953" s="6" t="s">
        <v>32</v>
      </c>
      <c r="D953" s="18">
        <f ca="1">RANDBETWEEN(8,15)</f>
        <v>8</v>
      </c>
      <c r="E953" s="19">
        <v>45451</v>
      </c>
      <c r="F953" s="18">
        <v>73</v>
      </c>
      <c r="G953" s="20">
        <v>0.84</v>
      </c>
      <c r="H953" s="18">
        <v>12</v>
      </c>
      <c r="I953" s="18">
        <v>28</v>
      </c>
      <c r="J953" s="15">
        <f ca="1">K953-L953</f>
        <v>-15.200000000000003</v>
      </c>
      <c r="K953" s="15">
        <v>68.8</v>
      </c>
      <c r="L953" s="15">
        <f ca="1">RANDBETWEEN(30,87)</f>
        <v>84</v>
      </c>
      <c r="M953" s="11">
        <f ca="1">(L953/J953)</f>
        <v>-5.5263157894736832</v>
      </c>
      <c r="N953" s="18">
        <v>89</v>
      </c>
      <c r="O953" s="18" t="s">
        <v>15</v>
      </c>
      <c r="P953" s="11" t="str">
        <f ca="1">RANDBETWEEN(30,76)&amp;"%"</f>
        <v>36%</v>
      </c>
      <c r="Q953" s="18">
        <f>PRODUCT(K953,N953)</f>
        <v>6123.2</v>
      </c>
    </row>
    <row r="954" spans="1:17" x14ac:dyDescent="0.45">
      <c r="A954" s="6" t="s">
        <v>881</v>
      </c>
      <c r="B954" s="9" t="s">
        <v>878</v>
      </c>
      <c r="C954" s="6" t="s">
        <v>32</v>
      </c>
      <c r="D954" s="18">
        <f ca="1">RANDBETWEEN(500,1000)</f>
        <v>634</v>
      </c>
      <c r="E954" s="19">
        <v>45467</v>
      </c>
      <c r="F954" s="18">
        <v>88</v>
      </c>
      <c r="G954" s="20">
        <v>0.52</v>
      </c>
      <c r="H954" s="18">
        <f t="shared" ref="H954:H991" ca="1" si="60">RANDBETWEEN(50,80)</f>
        <v>76</v>
      </c>
      <c r="I954" s="18">
        <f t="shared" ref="I954:I991" ca="1" si="61">RANDBETWEEN(70,200)</f>
        <v>181</v>
      </c>
      <c r="J954" s="15">
        <f ca="1">K954-L954</f>
        <v>369</v>
      </c>
      <c r="K954" s="15">
        <v>430</v>
      </c>
      <c r="L954" s="15">
        <f ca="1">RANDBETWEEN(30,87)</f>
        <v>61</v>
      </c>
      <c r="M954" s="11">
        <f ca="1">(L954/J954)</f>
        <v>0.16531165311653118</v>
      </c>
      <c r="N954" s="18">
        <v>96</v>
      </c>
      <c r="O954" s="18" t="str">
        <f t="shared" ref="O954:O991" ca="1" si="62">IF(F954&lt;H954,"Understocked","Optimal")</f>
        <v>Optimal</v>
      </c>
      <c r="P954" s="11" t="str">
        <f ca="1">RANDBETWEEN(30,76)&amp;"%"</f>
        <v>32%</v>
      </c>
      <c r="Q954" s="18">
        <f>PRODUCT(K954,N954)</f>
        <v>41280</v>
      </c>
    </row>
    <row r="955" spans="1:17" x14ac:dyDescent="0.45">
      <c r="A955" s="6" t="s">
        <v>882</v>
      </c>
      <c r="B955" s="9" t="s">
        <v>878</v>
      </c>
      <c r="C955" s="6" t="s">
        <v>32</v>
      </c>
      <c r="D955" s="18">
        <f ca="1">RANDBETWEEN(500,1000)</f>
        <v>711</v>
      </c>
      <c r="E955" s="19">
        <v>45371</v>
      </c>
      <c r="F955" s="18">
        <v>78</v>
      </c>
      <c r="G955" s="20">
        <v>0.56999999999999995</v>
      </c>
      <c r="H955" s="18">
        <f t="shared" ca="1" si="60"/>
        <v>78</v>
      </c>
      <c r="I955" s="18">
        <f t="shared" ca="1" si="61"/>
        <v>176</v>
      </c>
      <c r="J955" s="15">
        <f ca="1">K955-L955</f>
        <v>504.5</v>
      </c>
      <c r="K955" s="15">
        <v>537.5</v>
      </c>
      <c r="L955" s="15">
        <f ca="1">RANDBETWEEN(30,87)</f>
        <v>33</v>
      </c>
      <c r="M955" s="11">
        <f ca="1">(L955/J955)</f>
        <v>6.5411298315163527E-2</v>
      </c>
      <c r="N955" s="18">
        <v>47</v>
      </c>
      <c r="O955" s="18" t="str">
        <f t="shared" ca="1" si="62"/>
        <v>Optimal</v>
      </c>
      <c r="P955" s="11" t="str">
        <f ca="1">RANDBETWEEN(30,76)&amp;"%"</f>
        <v>51%</v>
      </c>
      <c r="Q955" s="18">
        <f>PRODUCT(K955,N955)</f>
        <v>25262.5</v>
      </c>
    </row>
    <row r="956" spans="1:17" x14ac:dyDescent="0.45">
      <c r="A956" s="6" t="s">
        <v>883</v>
      </c>
      <c r="B956" s="9" t="s">
        <v>878</v>
      </c>
      <c r="C956" s="6" t="s">
        <v>32</v>
      </c>
      <c r="D956" s="18">
        <f ca="1">RANDBETWEEN(500,1000)</f>
        <v>748</v>
      </c>
      <c r="E956" s="19">
        <v>45544</v>
      </c>
      <c r="F956" s="18">
        <v>88</v>
      </c>
      <c r="G956" s="20">
        <v>0.83</v>
      </c>
      <c r="H956" s="18">
        <f t="shared" ca="1" si="60"/>
        <v>53</v>
      </c>
      <c r="I956" s="18">
        <f t="shared" ca="1" si="61"/>
        <v>101</v>
      </c>
      <c r="J956" s="15">
        <f ca="1">K956-L956</f>
        <v>460</v>
      </c>
      <c r="K956" s="15">
        <v>516</v>
      </c>
      <c r="L956" s="15">
        <f ca="1">RANDBETWEEN(30,87)</f>
        <v>56</v>
      </c>
      <c r="M956" s="11">
        <f ca="1">(L956/J956)</f>
        <v>0.12173913043478261</v>
      </c>
      <c r="N956" s="18">
        <v>61</v>
      </c>
      <c r="O956" s="18" t="str">
        <f t="shared" ca="1" si="62"/>
        <v>Optimal</v>
      </c>
      <c r="P956" s="11" t="str">
        <f ca="1">RANDBETWEEN(30,76)&amp;"%"</f>
        <v>44%</v>
      </c>
      <c r="Q956" s="18">
        <f>PRODUCT(K956,N956)</f>
        <v>31476</v>
      </c>
    </row>
    <row r="957" spans="1:17" x14ac:dyDescent="0.45">
      <c r="A957" s="6" t="s">
        <v>886</v>
      </c>
      <c r="B957" s="9" t="s">
        <v>887</v>
      </c>
      <c r="C957" s="6" t="s">
        <v>32</v>
      </c>
      <c r="D957" s="18">
        <f ca="1">RANDBETWEEN(500,1000)</f>
        <v>778</v>
      </c>
      <c r="E957" s="19">
        <v>45561</v>
      </c>
      <c r="F957" s="18">
        <v>33</v>
      </c>
      <c r="G957" s="20">
        <v>0.6</v>
      </c>
      <c r="H957" s="18">
        <f t="shared" ca="1" si="60"/>
        <v>50</v>
      </c>
      <c r="I957" s="18">
        <f t="shared" ca="1" si="61"/>
        <v>146</v>
      </c>
      <c r="J957" s="15">
        <f ca="1">K957-L957</f>
        <v>102.80000000000001</v>
      </c>
      <c r="K957" s="15">
        <v>154.80000000000001</v>
      </c>
      <c r="L957" s="15">
        <f ca="1">RANDBETWEEN(30,87)</f>
        <v>52</v>
      </c>
      <c r="M957" s="11">
        <f ca="1">(L957/J957)</f>
        <v>0.50583657587548636</v>
      </c>
      <c r="N957" s="18">
        <v>98</v>
      </c>
      <c r="O957" s="18" t="str">
        <f t="shared" ca="1" si="62"/>
        <v>Understocked</v>
      </c>
      <c r="P957" s="11" t="str">
        <f ca="1">RANDBETWEEN(30,76)&amp;"%"</f>
        <v>74%</v>
      </c>
      <c r="Q957" s="18">
        <f>PRODUCT(K957,N957)</f>
        <v>15170.400000000001</v>
      </c>
    </row>
    <row r="958" spans="1:17" x14ac:dyDescent="0.45">
      <c r="A958" s="6" t="s">
        <v>888</v>
      </c>
      <c r="B958" s="9" t="s">
        <v>887</v>
      </c>
      <c r="C958" s="6" t="s">
        <v>32</v>
      </c>
      <c r="D958" s="18">
        <f ca="1">RANDBETWEEN(500,1000)</f>
        <v>931</v>
      </c>
      <c r="E958" s="19">
        <v>45556</v>
      </c>
      <c r="F958" s="18">
        <v>44</v>
      </c>
      <c r="G958" s="20">
        <v>0.43</v>
      </c>
      <c r="H958" s="18">
        <f t="shared" ca="1" si="60"/>
        <v>70</v>
      </c>
      <c r="I958" s="18">
        <f t="shared" ca="1" si="61"/>
        <v>92</v>
      </c>
      <c r="J958" s="15">
        <f ca="1">K958-L958</f>
        <v>64</v>
      </c>
      <c r="K958" s="15">
        <v>129</v>
      </c>
      <c r="L958" s="15">
        <f ca="1">RANDBETWEEN(30,87)</f>
        <v>65</v>
      </c>
      <c r="M958" s="11">
        <f ca="1">(L958/J958)</f>
        <v>1.015625</v>
      </c>
      <c r="N958" s="18">
        <v>90</v>
      </c>
      <c r="O958" s="18" t="str">
        <f t="shared" ca="1" si="62"/>
        <v>Understocked</v>
      </c>
      <c r="P958" s="11" t="str">
        <f ca="1">RANDBETWEEN(30,76)&amp;"%"</f>
        <v>30%</v>
      </c>
      <c r="Q958" s="18">
        <f>PRODUCT(K958,N958)</f>
        <v>11610</v>
      </c>
    </row>
    <row r="959" spans="1:17" x14ac:dyDescent="0.45">
      <c r="A959" s="6" t="s">
        <v>889</v>
      </c>
      <c r="B959" s="9" t="s">
        <v>887</v>
      </c>
      <c r="C959" s="6" t="s">
        <v>32</v>
      </c>
      <c r="D959" s="18">
        <f ca="1">RANDBETWEEN(500,1000)</f>
        <v>640</v>
      </c>
      <c r="E959" s="19">
        <v>45353</v>
      </c>
      <c r="F959" s="18">
        <v>73</v>
      </c>
      <c r="G959" s="20">
        <v>0.81</v>
      </c>
      <c r="H959" s="18">
        <f t="shared" ca="1" si="60"/>
        <v>65</v>
      </c>
      <c r="I959" s="18">
        <f t="shared" ca="1" si="61"/>
        <v>151</v>
      </c>
      <c r="J959" s="15">
        <f ca="1">K959-L959</f>
        <v>716</v>
      </c>
      <c r="K959" s="15">
        <v>774</v>
      </c>
      <c r="L959" s="15">
        <f ca="1">RANDBETWEEN(30,87)</f>
        <v>58</v>
      </c>
      <c r="M959" s="11">
        <f ca="1">(L959/J959)</f>
        <v>8.1005586592178769E-2</v>
      </c>
      <c r="N959" s="18">
        <v>22</v>
      </c>
      <c r="O959" s="18" t="str">
        <f t="shared" ca="1" si="62"/>
        <v>Optimal</v>
      </c>
      <c r="P959" s="11" t="str">
        <f ca="1">RANDBETWEEN(30,76)&amp;"%"</f>
        <v>74%</v>
      </c>
      <c r="Q959" s="18">
        <f>PRODUCT(K959,N959)</f>
        <v>17028</v>
      </c>
    </row>
    <row r="960" spans="1:17" x14ac:dyDescent="0.45">
      <c r="A960" s="6" t="s">
        <v>890</v>
      </c>
      <c r="B960" s="9" t="s">
        <v>887</v>
      </c>
      <c r="C960" s="6" t="s">
        <v>32</v>
      </c>
      <c r="D960" s="18">
        <f ca="1">RANDBETWEEN(500,1000)</f>
        <v>948</v>
      </c>
      <c r="E960" s="19">
        <v>45387</v>
      </c>
      <c r="F960" s="18">
        <v>91</v>
      </c>
      <c r="G960" s="20">
        <v>0.76</v>
      </c>
      <c r="H960" s="18">
        <f t="shared" ca="1" si="60"/>
        <v>61</v>
      </c>
      <c r="I960" s="18">
        <f t="shared" ca="1" si="61"/>
        <v>176</v>
      </c>
      <c r="J960" s="15">
        <f ca="1">K960-L960</f>
        <v>699</v>
      </c>
      <c r="K960" s="15">
        <v>774</v>
      </c>
      <c r="L960" s="15">
        <f ca="1">RANDBETWEEN(30,87)</f>
        <v>75</v>
      </c>
      <c r="M960" s="11">
        <f ca="1">(L960/J960)</f>
        <v>0.1072961373390558</v>
      </c>
      <c r="N960" s="18">
        <v>30</v>
      </c>
      <c r="O960" s="18" t="str">
        <f t="shared" ca="1" si="62"/>
        <v>Optimal</v>
      </c>
      <c r="P960" s="11" t="str">
        <f ca="1">RANDBETWEEN(30,76)&amp;"%"</f>
        <v>47%</v>
      </c>
      <c r="Q960" s="18">
        <f>PRODUCT(K960,N960)</f>
        <v>23220</v>
      </c>
    </row>
    <row r="961" spans="1:17" x14ac:dyDescent="0.45">
      <c r="A961" s="6" t="s">
        <v>891</v>
      </c>
      <c r="B961" s="9" t="s">
        <v>887</v>
      </c>
      <c r="C961" s="6" t="s">
        <v>32</v>
      </c>
      <c r="D961" s="18">
        <f ca="1">RANDBETWEEN(500,1000)</f>
        <v>998</v>
      </c>
      <c r="E961" s="19">
        <v>45359</v>
      </c>
      <c r="F961" s="18">
        <v>89</v>
      </c>
      <c r="G961" s="20">
        <v>0.45</v>
      </c>
      <c r="H961" s="18">
        <f t="shared" ca="1" si="60"/>
        <v>74</v>
      </c>
      <c r="I961" s="18">
        <f t="shared" ca="1" si="61"/>
        <v>173</v>
      </c>
      <c r="J961" s="15">
        <f ca="1">K961-L961</f>
        <v>99</v>
      </c>
      <c r="K961" s="15">
        <v>129</v>
      </c>
      <c r="L961" s="15">
        <f ca="1">RANDBETWEEN(30,87)</f>
        <v>30</v>
      </c>
      <c r="M961" s="11">
        <f ca="1">(L961/J961)</f>
        <v>0.30303030303030304</v>
      </c>
      <c r="N961" s="18">
        <v>60</v>
      </c>
      <c r="O961" s="18" t="str">
        <f t="shared" ca="1" si="62"/>
        <v>Optimal</v>
      </c>
      <c r="P961" s="11" t="str">
        <f ca="1">RANDBETWEEN(30,76)&amp;"%"</f>
        <v>63%</v>
      </c>
      <c r="Q961" s="18">
        <f>PRODUCT(K961,N961)</f>
        <v>7740</v>
      </c>
    </row>
    <row r="962" spans="1:17" x14ac:dyDescent="0.45">
      <c r="A962" s="6" t="s">
        <v>892</v>
      </c>
      <c r="B962" s="9" t="s">
        <v>887</v>
      </c>
      <c r="C962" s="6" t="s">
        <v>32</v>
      </c>
      <c r="D962" s="18">
        <f ca="1">RANDBETWEEN(500,1000)</f>
        <v>755</v>
      </c>
      <c r="E962" s="19">
        <v>45378</v>
      </c>
      <c r="F962" s="18">
        <v>11</v>
      </c>
      <c r="G962" s="20">
        <v>0.3</v>
      </c>
      <c r="H962" s="18">
        <f t="shared" ca="1" si="60"/>
        <v>53</v>
      </c>
      <c r="I962" s="18">
        <f t="shared" ca="1" si="61"/>
        <v>173</v>
      </c>
      <c r="J962" s="15">
        <f ca="1">K962-L962</f>
        <v>602</v>
      </c>
      <c r="K962" s="15">
        <v>688</v>
      </c>
      <c r="L962" s="15">
        <f ca="1">RANDBETWEEN(30,87)</f>
        <v>86</v>
      </c>
      <c r="M962" s="11">
        <f ca="1">(L962/J962)</f>
        <v>0.14285714285714285</v>
      </c>
      <c r="N962" s="18">
        <v>69</v>
      </c>
      <c r="O962" s="18" t="str">
        <f t="shared" ca="1" si="62"/>
        <v>Understocked</v>
      </c>
      <c r="P962" s="11" t="str">
        <f ca="1">RANDBETWEEN(30,76)&amp;"%"</f>
        <v>49%</v>
      </c>
      <c r="Q962" s="18">
        <f>PRODUCT(K962,N962)</f>
        <v>47472</v>
      </c>
    </row>
    <row r="963" spans="1:17" x14ac:dyDescent="0.45">
      <c r="A963" s="6" t="s">
        <v>893</v>
      </c>
      <c r="B963" s="9" t="s">
        <v>887</v>
      </c>
      <c r="C963" s="6" t="s">
        <v>32</v>
      </c>
      <c r="D963" s="18">
        <f ca="1">RANDBETWEEN(500,1000)</f>
        <v>673</v>
      </c>
      <c r="E963" s="19">
        <v>45501</v>
      </c>
      <c r="F963" s="18">
        <v>30</v>
      </c>
      <c r="G963" s="20">
        <v>0.64</v>
      </c>
      <c r="H963" s="18">
        <f t="shared" ca="1" si="60"/>
        <v>65</v>
      </c>
      <c r="I963" s="18">
        <f t="shared" ca="1" si="61"/>
        <v>195</v>
      </c>
      <c r="J963" s="15">
        <f ca="1">K963-L963</f>
        <v>1660</v>
      </c>
      <c r="K963" s="15">
        <v>1720</v>
      </c>
      <c r="L963" s="15">
        <f ca="1">RANDBETWEEN(30,87)</f>
        <v>60</v>
      </c>
      <c r="M963" s="11">
        <f ca="1">(L963/J963)</f>
        <v>3.614457831325301E-2</v>
      </c>
      <c r="N963" s="18">
        <v>56</v>
      </c>
      <c r="O963" s="18" t="str">
        <f t="shared" ca="1" si="62"/>
        <v>Understocked</v>
      </c>
      <c r="P963" s="11" t="str">
        <f ca="1">RANDBETWEEN(30,76)&amp;"%"</f>
        <v>46%</v>
      </c>
      <c r="Q963" s="18">
        <f>PRODUCT(K963,N963)</f>
        <v>96320</v>
      </c>
    </row>
    <row r="964" spans="1:17" x14ac:dyDescent="0.45">
      <c r="A964" s="6" t="s">
        <v>984</v>
      </c>
      <c r="B964" s="9" t="s">
        <v>985</v>
      </c>
      <c r="C964" s="6" t="s">
        <v>32</v>
      </c>
      <c r="D964" s="18">
        <f ca="1">RANDBETWEEN(500,1000)</f>
        <v>563</v>
      </c>
      <c r="E964" s="19">
        <v>45663</v>
      </c>
      <c r="F964" s="18">
        <v>30</v>
      </c>
      <c r="G964" s="20">
        <v>0.82</v>
      </c>
      <c r="H964" s="18">
        <f t="shared" ca="1" si="60"/>
        <v>71</v>
      </c>
      <c r="I964" s="18">
        <f t="shared" ca="1" si="61"/>
        <v>117</v>
      </c>
      <c r="J964" s="15">
        <f ca="1">K964-L964</f>
        <v>457.6</v>
      </c>
      <c r="K964" s="15">
        <v>524.6</v>
      </c>
      <c r="L964" s="15">
        <f ca="1">RANDBETWEEN(30,87)</f>
        <v>67</v>
      </c>
      <c r="M964" s="11">
        <f ca="1">(L964/J964)</f>
        <v>0.14641608391608391</v>
      </c>
      <c r="N964" s="18">
        <v>48</v>
      </c>
      <c r="O964" s="18" t="str">
        <f t="shared" ca="1" si="62"/>
        <v>Understocked</v>
      </c>
      <c r="P964" s="11" t="str">
        <f ca="1">RANDBETWEEN(30,76)&amp;"%"</f>
        <v>72%</v>
      </c>
      <c r="Q964" s="18">
        <f>PRODUCT(K964,N964)</f>
        <v>25180.800000000003</v>
      </c>
    </row>
    <row r="965" spans="1:17" x14ac:dyDescent="0.45">
      <c r="A965" s="6" t="s">
        <v>986</v>
      </c>
      <c r="B965" s="9" t="s">
        <v>985</v>
      </c>
      <c r="C965" s="6" t="s">
        <v>32</v>
      </c>
      <c r="D965" s="18">
        <f ca="1">RANDBETWEEN(500,1000)</f>
        <v>921</v>
      </c>
      <c r="E965" s="19">
        <v>45644</v>
      </c>
      <c r="F965" s="18">
        <v>78</v>
      </c>
      <c r="G965" s="20">
        <v>0.86</v>
      </c>
      <c r="H965" s="18">
        <f t="shared" ca="1" si="60"/>
        <v>73</v>
      </c>
      <c r="I965" s="18">
        <f t="shared" ca="1" si="61"/>
        <v>85</v>
      </c>
      <c r="J965" s="15">
        <f ca="1">K965-L965</f>
        <v>85</v>
      </c>
      <c r="K965" s="15">
        <v>129</v>
      </c>
      <c r="L965" s="15">
        <f ca="1">RANDBETWEEN(30,87)</f>
        <v>44</v>
      </c>
      <c r="M965" s="11">
        <f ca="1">(L965/J965)</f>
        <v>0.51764705882352946</v>
      </c>
      <c r="N965" s="18">
        <v>63</v>
      </c>
      <c r="O965" s="18" t="str">
        <f t="shared" ca="1" si="62"/>
        <v>Optimal</v>
      </c>
      <c r="P965" s="11" t="str">
        <f ca="1">RANDBETWEEN(30,76)&amp;"%"</f>
        <v>70%</v>
      </c>
      <c r="Q965" s="18">
        <f>PRODUCT(K965,N965)</f>
        <v>8127</v>
      </c>
    </row>
    <row r="966" spans="1:17" x14ac:dyDescent="0.45">
      <c r="A966" s="6" t="s">
        <v>987</v>
      </c>
      <c r="B966" s="9" t="s">
        <v>985</v>
      </c>
      <c r="C966" s="6" t="s">
        <v>32</v>
      </c>
      <c r="D966" s="18">
        <f ca="1">RANDBETWEEN(500,1000)</f>
        <v>617</v>
      </c>
      <c r="E966" s="19">
        <v>45649</v>
      </c>
      <c r="F966" s="18">
        <v>56</v>
      </c>
      <c r="G966" s="20">
        <v>0.56000000000000005</v>
      </c>
      <c r="H966" s="18">
        <f t="shared" ca="1" si="60"/>
        <v>62</v>
      </c>
      <c r="I966" s="18">
        <f t="shared" ca="1" si="61"/>
        <v>127</v>
      </c>
      <c r="J966" s="15">
        <f ca="1">K966-L966</f>
        <v>734</v>
      </c>
      <c r="K966" s="15">
        <v>774</v>
      </c>
      <c r="L966" s="15">
        <f ca="1">RANDBETWEEN(30,87)</f>
        <v>40</v>
      </c>
      <c r="M966" s="11">
        <f ca="1">(L966/J966)</f>
        <v>5.4495912806539509E-2</v>
      </c>
      <c r="N966" s="18">
        <v>65</v>
      </c>
      <c r="O966" s="18" t="str">
        <f t="shared" ca="1" si="62"/>
        <v>Understocked</v>
      </c>
      <c r="P966" s="11" t="str">
        <f ca="1">RANDBETWEEN(30,76)&amp;"%"</f>
        <v>34%</v>
      </c>
      <c r="Q966" s="18">
        <f>PRODUCT(K966,N966)</f>
        <v>50310</v>
      </c>
    </row>
    <row r="967" spans="1:17" x14ac:dyDescent="0.45">
      <c r="A967" s="6" t="s">
        <v>988</v>
      </c>
      <c r="B967" s="9" t="s">
        <v>985</v>
      </c>
      <c r="C967" s="6" t="s">
        <v>32</v>
      </c>
      <c r="D967" s="18">
        <f ca="1">RANDBETWEEN(500,1000)</f>
        <v>939</v>
      </c>
      <c r="E967" s="19">
        <v>45448</v>
      </c>
      <c r="F967" s="18">
        <v>95</v>
      </c>
      <c r="G967" s="20">
        <v>0.44</v>
      </c>
      <c r="H967" s="18">
        <f t="shared" ca="1" si="60"/>
        <v>70</v>
      </c>
      <c r="I967" s="18">
        <f t="shared" ca="1" si="61"/>
        <v>199</v>
      </c>
      <c r="J967" s="15">
        <f ca="1">K967-L967</f>
        <v>415</v>
      </c>
      <c r="K967" s="15">
        <v>473</v>
      </c>
      <c r="L967" s="15">
        <f ca="1">RANDBETWEEN(30,87)</f>
        <v>58</v>
      </c>
      <c r="M967" s="11">
        <f ca="1">(L967/J967)</f>
        <v>0.13975903614457832</v>
      </c>
      <c r="N967" s="18">
        <v>61</v>
      </c>
      <c r="O967" s="18" t="str">
        <f t="shared" ca="1" si="62"/>
        <v>Optimal</v>
      </c>
      <c r="P967" s="11" t="str">
        <f ca="1">RANDBETWEEN(30,76)&amp;"%"</f>
        <v>68%</v>
      </c>
      <c r="Q967" s="18">
        <f>PRODUCT(K967,N967)</f>
        <v>28853</v>
      </c>
    </row>
    <row r="968" spans="1:17" x14ac:dyDescent="0.45">
      <c r="A968" s="6" t="s">
        <v>989</v>
      </c>
      <c r="B968" s="9" t="s">
        <v>985</v>
      </c>
      <c r="C968" s="6" t="s">
        <v>32</v>
      </c>
      <c r="D968" s="18">
        <f ca="1">RANDBETWEEN(500,1000)</f>
        <v>576</v>
      </c>
      <c r="E968" s="19">
        <v>45658</v>
      </c>
      <c r="F968" s="18">
        <v>85</v>
      </c>
      <c r="G968" s="20">
        <v>0.4</v>
      </c>
      <c r="H968" s="18">
        <f t="shared" ca="1" si="60"/>
        <v>72</v>
      </c>
      <c r="I968" s="18">
        <f t="shared" ca="1" si="61"/>
        <v>166</v>
      </c>
      <c r="J968" s="15">
        <f ca="1">K968-L968</f>
        <v>129</v>
      </c>
      <c r="K968" s="15">
        <v>172</v>
      </c>
      <c r="L968" s="15">
        <f ca="1">RANDBETWEEN(30,87)</f>
        <v>43</v>
      </c>
      <c r="M968" s="11">
        <f ca="1">(L968/J968)</f>
        <v>0.33333333333333331</v>
      </c>
      <c r="N968" s="18">
        <v>54</v>
      </c>
      <c r="O968" s="18" t="str">
        <f t="shared" ca="1" si="62"/>
        <v>Optimal</v>
      </c>
      <c r="P968" s="11" t="str">
        <f ca="1">RANDBETWEEN(30,76)&amp;"%"</f>
        <v>73%</v>
      </c>
      <c r="Q968" s="18">
        <f>PRODUCT(K968,N968)</f>
        <v>9288</v>
      </c>
    </row>
    <row r="969" spans="1:17" x14ac:dyDescent="0.45">
      <c r="A969" s="6" t="s">
        <v>990</v>
      </c>
      <c r="B969" s="9" t="s">
        <v>985</v>
      </c>
      <c r="C969" s="6" t="s">
        <v>32</v>
      </c>
      <c r="D969" s="18">
        <f ca="1">RANDBETWEEN(500,1000)</f>
        <v>739</v>
      </c>
      <c r="E969" s="19">
        <v>45521</v>
      </c>
      <c r="F969" s="18">
        <v>93</v>
      </c>
      <c r="G969" s="20">
        <v>0.48</v>
      </c>
      <c r="H969" s="18">
        <f t="shared" ca="1" si="60"/>
        <v>68</v>
      </c>
      <c r="I969" s="18">
        <f t="shared" ca="1" si="61"/>
        <v>134</v>
      </c>
      <c r="J969" s="15">
        <f ca="1">K969-L969</f>
        <v>824</v>
      </c>
      <c r="K969" s="15">
        <v>860</v>
      </c>
      <c r="L969" s="15">
        <f ca="1">RANDBETWEEN(30,87)</f>
        <v>36</v>
      </c>
      <c r="M969" s="11">
        <f ca="1">(L969/J969)</f>
        <v>4.3689320388349516E-2</v>
      </c>
      <c r="N969" s="18">
        <v>72</v>
      </c>
      <c r="O969" s="18" t="str">
        <f t="shared" ca="1" si="62"/>
        <v>Optimal</v>
      </c>
      <c r="P969" s="11" t="str">
        <f ca="1">RANDBETWEEN(30,76)&amp;"%"</f>
        <v>65%</v>
      </c>
      <c r="Q969" s="18">
        <f>PRODUCT(K969,N969)</f>
        <v>61920</v>
      </c>
    </row>
    <row r="970" spans="1:17" x14ac:dyDescent="0.45">
      <c r="A970" s="6" t="s">
        <v>991</v>
      </c>
      <c r="B970" s="9" t="s">
        <v>985</v>
      </c>
      <c r="C970" s="6" t="s">
        <v>32</v>
      </c>
      <c r="D970" s="18">
        <f ca="1">RANDBETWEEN(500,1000)</f>
        <v>691</v>
      </c>
      <c r="E970" s="19">
        <v>45486</v>
      </c>
      <c r="F970" s="18">
        <v>14</v>
      </c>
      <c r="G970" s="20">
        <v>0.45</v>
      </c>
      <c r="H970" s="18">
        <f t="shared" ca="1" si="60"/>
        <v>74</v>
      </c>
      <c r="I970" s="18">
        <f t="shared" ca="1" si="61"/>
        <v>153</v>
      </c>
      <c r="J970" s="15">
        <f ca="1">K970-L970</f>
        <v>1268</v>
      </c>
      <c r="K970" s="15">
        <v>1333</v>
      </c>
      <c r="L970" s="15">
        <f ca="1">RANDBETWEEN(30,87)</f>
        <v>65</v>
      </c>
      <c r="M970" s="11">
        <f ca="1">(L970/J970)</f>
        <v>5.1261829652996846E-2</v>
      </c>
      <c r="N970" s="18">
        <v>64</v>
      </c>
      <c r="O970" s="18" t="str">
        <f t="shared" ca="1" si="62"/>
        <v>Understocked</v>
      </c>
      <c r="P970" s="11" t="str">
        <f ca="1">RANDBETWEEN(30,76)&amp;"%"</f>
        <v>42%</v>
      </c>
      <c r="Q970" s="18">
        <f>PRODUCT(K970,N970)</f>
        <v>85312</v>
      </c>
    </row>
    <row r="971" spans="1:17" x14ac:dyDescent="0.45">
      <c r="A971" s="6" t="s">
        <v>992</v>
      </c>
      <c r="B971" s="9" t="s">
        <v>985</v>
      </c>
      <c r="C971" s="6" t="s">
        <v>32</v>
      </c>
      <c r="D971" s="18">
        <f ca="1">RANDBETWEEN(500,1000)</f>
        <v>550</v>
      </c>
      <c r="E971" s="19">
        <v>45606</v>
      </c>
      <c r="F971" s="18">
        <v>59</v>
      </c>
      <c r="G971" s="20">
        <v>0.33</v>
      </c>
      <c r="H971" s="18">
        <f t="shared" ca="1" si="60"/>
        <v>63</v>
      </c>
      <c r="I971" s="18">
        <f t="shared" ca="1" si="61"/>
        <v>110</v>
      </c>
      <c r="J971" s="15">
        <f ca="1">K971-L971</f>
        <v>139</v>
      </c>
      <c r="K971" s="15">
        <v>172</v>
      </c>
      <c r="L971" s="15">
        <f ca="1">RANDBETWEEN(30,87)</f>
        <v>33</v>
      </c>
      <c r="M971" s="11">
        <f ca="1">(L971/J971)</f>
        <v>0.23741007194244604</v>
      </c>
      <c r="N971" s="18">
        <v>57</v>
      </c>
      <c r="O971" s="18" t="str">
        <f t="shared" ca="1" si="62"/>
        <v>Understocked</v>
      </c>
      <c r="P971" s="11" t="str">
        <f ca="1">RANDBETWEEN(30,76)&amp;"%"</f>
        <v>30%</v>
      </c>
      <c r="Q971" s="18">
        <f>PRODUCT(K971,N971)</f>
        <v>9804</v>
      </c>
    </row>
    <row r="972" spans="1:17" x14ac:dyDescent="0.45">
      <c r="A972" s="6" t="s">
        <v>993</v>
      </c>
      <c r="B972" s="9" t="s">
        <v>985</v>
      </c>
      <c r="C972" s="6" t="s">
        <v>32</v>
      </c>
      <c r="D972" s="18">
        <f ca="1">RANDBETWEEN(500,1000)</f>
        <v>797</v>
      </c>
      <c r="E972" s="19">
        <v>45450</v>
      </c>
      <c r="F972" s="18">
        <v>46</v>
      </c>
      <c r="G972" s="20">
        <v>0.39</v>
      </c>
      <c r="H972" s="18">
        <f t="shared" ca="1" si="60"/>
        <v>69</v>
      </c>
      <c r="I972" s="18">
        <f t="shared" ca="1" si="61"/>
        <v>196</v>
      </c>
      <c r="J972" s="15">
        <f ca="1">K972-L972</f>
        <v>115.5</v>
      </c>
      <c r="K972" s="15">
        <v>150.5</v>
      </c>
      <c r="L972" s="15">
        <f ca="1">RANDBETWEEN(30,87)</f>
        <v>35</v>
      </c>
      <c r="M972" s="11">
        <f ca="1">(L972/J972)</f>
        <v>0.30303030303030304</v>
      </c>
      <c r="N972" s="18">
        <v>62</v>
      </c>
      <c r="O972" s="18" t="str">
        <f t="shared" ca="1" si="62"/>
        <v>Understocked</v>
      </c>
      <c r="P972" s="11" t="str">
        <f ca="1">RANDBETWEEN(30,76)&amp;"%"</f>
        <v>58%</v>
      </c>
      <c r="Q972" s="18">
        <f>PRODUCT(K972,N972)</f>
        <v>9331</v>
      </c>
    </row>
    <row r="973" spans="1:17" x14ac:dyDescent="0.45">
      <c r="A973" s="6" t="s">
        <v>994</v>
      </c>
      <c r="B973" s="9" t="s">
        <v>985</v>
      </c>
      <c r="C973" s="6" t="s">
        <v>32</v>
      </c>
      <c r="D973" s="18">
        <f ca="1">RANDBETWEEN(500,1000)</f>
        <v>694</v>
      </c>
      <c r="E973" s="19">
        <v>45651</v>
      </c>
      <c r="F973" s="18">
        <v>100</v>
      </c>
      <c r="G973" s="20">
        <v>0.53</v>
      </c>
      <c r="H973" s="18">
        <f t="shared" ca="1" si="60"/>
        <v>52</v>
      </c>
      <c r="I973" s="18">
        <f t="shared" ca="1" si="61"/>
        <v>196</v>
      </c>
      <c r="J973" s="15">
        <f ca="1">K973-L973</f>
        <v>139</v>
      </c>
      <c r="K973" s="15">
        <v>172</v>
      </c>
      <c r="L973" s="15">
        <f ca="1">RANDBETWEEN(30,87)</f>
        <v>33</v>
      </c>
      <c r="M973" s="11">
        <f ca="1">(L973/J973)</f>
        <v>0.23741007194244604</v>
      </c>
      <c r="N973" s="18">
        <v>85</v>
      </c>
      <c r="O973" s="18" t="str">
        <f t="shared" ca="1" si="62"/>
        <v>Optimal</v>
      </c>
      <c r="P973" s="11" t="str">
        <f ca="1">RANDBETWEEN(30,76)&amp;"%"</f>
        <v>33%</v>
      </c>
      <c r="Q973" s="18">
        <f>PRODUCT(K973,N973)</f>
        <v>14620</v>
      </c>
    </row>
    <row r="974" spans="1:17" x14ac:dyDescent="0.45">
      <c r="A974" s="6" t="s">
        <v>1001</v>
      </c>
      <c r="B974" s="9" t="s">
        <v>1002</v>
      </c>
      <c r="C974" s="6" t="s">
        <v>32</v>
      </c>
      <c r="D974" s="18">
        <f ca="1">RANDBETWEEN(500,1000)</f>
        <v>550</v>
      </c>
      <c r="E974" s="19">
        <v>45622</v>
      </c>
      <c r="F974" s="18">
        <v>29</v>
      </c>
      <c r="G974" s="20">
        <v>0.59</v>
      </c>
      <c r="H974" s="18">
        <f t="shared" ca="1" si="60"/>
        <v>51</v>
      </c>
      <c r="I974" s="18">
        <f t="shared" ca="1" si="61"/>
        <v>89</v>
      </c>
      <c r="J974" s="15">
        <f ca="1">K974-L974</f>
        <v>395</v>
      </c>
      <c r="K974" s="15">
        <v>473</v>
      </c>
      <c r="L974" s="15">
        <f ca="1">RANDBETWEEN(30,87)</f>
        <v>78</v>
      </c>
      <c r="M974" s="11">
        <f ca="1">(L974/J974)</f>
        <v>0.19746835443037974</v>
      </c>
      <c r="N974" s="18">
        <v>85</v>
      </c>
      <c r="O974" s="18" t="str">
        <f t="shared" ca="1" si="62"/>
        <v>Understocked</v>
      </c>
      <c r="P974" s="11" t="str">
        <f ca="1">RANDBETWEEN(30,76)&amp;"%"</f>
        <v>52%</v>
      </c>
      <c r="Q974" s="18">
        <f>PRODUCT(K974,N974)</f>
        <v>40205</v>
      </c>
    </row>
    <row r="975" spans="1:17" x14ac:dyDescent="0.45">
      <c r="A975" s="6" t="s">
        <v>1004</v>
      </c>
      <c r="B975" s="9" t="s">
        <v>1002</v>
      </c>
      <c r="C975" s="6" t="s">
        <v>32</v>
      </c>
      <c r="D975" s="18">
        <f ca="1">RANDBETWEEN(500,1000)</f>
        <v>606</v>
      </c>
      <c r="E975" s="19">
        <v>45441</v>
      </c>
      <c r="F975" s="18">
        <v>75</v>
      </c>
      <c r="G975" s="20">
        <v>0.42</v>
      </c>
      <c r="H975" s="18">
        <f t="shared" ca="1" si="60"/>
        <v>72</v>
      </c>
      <c r="I975" s="18">
        <f t="shared" ca="1" si="61"/>
        <v>98</v>
      </c>
      <c r="J975" s="15">
        <f ca="1">K975-L975</f>
        <v>177</v>
      </c>
      <c r="K975" s="15">
        <v>215</v>
      </c>
      <c r="L975" s="15">
        <f ca="1">RANDBETWEEN(30,87)</f>
        <v>38</v>
      </c>
      <c r="M975" s="11">
        <f ca="1">(L975/J975)</f>
        <v>0.21468926553672316</v>
      </c>
      <c r="N975" s="18">
        <v>89</v>
      </c>
      <c r="O975" s="18" t="str">
        <f t="shared" ca="1" si="62"/>
        <v>Optimal</v>
      </c>
      <c r="P975" s="11" t="str">
        <f ca="1">RANDBETWEEN(30,76)&amp;"%"</f>
        <v>34%</v>
      </c>
      <c r="Q975" s="18">
        <f>PRODUCT(K975,N975)</f>
        <v>19135</v>
      </c>
    </row>
    <row r="976" spans="1:17" x14ac:dyDescent="0.45">
      <c r="A976" s="6" t="s">
        <v>1005</v>
      </c>
      <c r="B976" s="9" t="s">
        <v>1002</v>
      </c>
      <c r="C976" s="6" t="s">
        <v>32</v>
      </c>
      <c r="D976" s="18">
        <f ca="1">RANDBETWEEN(500,1000)</f>
        <v>941</v>
      </c>
      <c r="E976" s="19">
        <v>45565</v>
      </c>
      <c r="F976" s="18">
        <v>67</v>
      </c>
      <c r="G976" s="20">
        <v>0.36</v>
      </c>
      <c r="H976" s="18">
        <f t="shared" ca="1" si="60"/>
        <v>56</v>
      </c>
      <c r="I976" s="18">
        <f t="shared" ca="1" si="61"/>
        <v>198</v>
      </c>
      <c r="J976" s="15">
        <f ca="1">K976-L976</f>
        <v>101</v>
      </c>
      <c r="K976" s="15">
        <v>172</v>
      </c>
      <c r="L976" s="15">
        <f ca="1">RANDBETWEEN(30,87)</f>
        <v>71</v>
      </c>
      <c r="M976" s="11">
        <f ca="1">(L976/J976)</f>
        <v>0.70297029702970293</v>
      </c>
      <c r="N976" s="18">
        <v>66</v>
      </c>
      <c r="O976" s="18" t="str">
        <f t="shared" ca="1" si="62"/>
        <v>Optimal</v>
      </c>
      <c r="P976" s="11" t="str">
        <f ca="1">RANDBETWEEN(30,76)&amp;"%"</f>
        <v>36%</v>
      </c>
      <c r="Q976" s="18">
        <f>PRODUCT(K976,N976)</f>
        <v>11352</v>
      </c>
    </row>
    <row r="977" spans="1:17" x14ac:dyDescent="0.45">
      <c r="A977" s="6" t="s">
        <v>1006</v>
      </c>
      <c r="B977" s="9" t="s">
        <v>1002</v>
      </c>
      <c r="C977" s="6" t="s">
        <v>32</v>
      </c>
      <c r="D977" s="18">
        <f ca="1">RANDBETWEEN(500,1000)</f>
        <v>720</v>
      </c>
      <c r="E977" s="19">
        <v>45662</v>
      </c>
      <c r="F977" s="18">
        <v>89</v>
      </c>
      <c r="G977" s="20">
        <v>0.76</v>
      </c>
      <c r="H977" s="18">
        <f t="shared" ca="1" si="60"/>
        <v>73</v>
      </c>
      <c r="I977" s="18">
        <f t="shared" ca="1" si="61"/>
        <v>71</v>
      </c>
      <c r="J977" s="15">
        <f ca="1">K977-L977</f>
        <v>374</v>
      </c>
      <c r="K977" s="15">
        <v>430</v>
      </c>
      <c r="L977" s="15">
        <f ca="1">RANDBETWEEN(30,87)</f>
        <v>56</v>
      </c>
      <c r="M977" s="11">
        <f ca="1">(L977/J977)</f>
        <v>0.1497326203208556</v>
      </c>
      <c r="N977" s="18">
        <v>96</v>
      </c>
      <c r="O977" s="18" t="str">
        <f t="shared" ca="1" si="62"/>
        <v>Optimal</v>
      </c>
      <c r="P977" s="11" t="str">
        <f ca="1">RANDBETWEEN(30,76)&amp;"%"</f>
        <v>57%</v>
      </c>
      <c r="Q977" s="18">
        <f>PRODUCT(K977,N977)</f>
        <v>41280</v>
      </c>
    </row>
    <row r="978" spans="1:17" x14ac:dyDescent="0.45">
      <c r="A978" s="6" t="s">
        <v>1007</v>
      </c>
      <c r="B978" s="9" t="s">
        <v>1002</v>
      </c>
      <c r="C978" s="6" t="s">
        <v>32</v>
      </c>
      <c r="D978" s="18">
        <f ca="1">RANDBETWEEN(500,1000)</f>
        <v>539</v>
      </c>
      <c r="E978" s="19">
        <v>45566</v>
      </c>
      <c r="F978" s="18">
        <v>49</v>
      </c>
      <c r="G978" s="20">
        <v>0.46</v>
      </c>
      <c r="H978" s="18">
        <f t="shared" ca="1" si="60"/>
        <v>56</v>
      </c>
      <c r="I978" s="18">
        <f t="shared" ca="1" si="61"/>
        <v>80</v>
      </c>
      <c r="J978" s="15">
        <f ca="1">K978-L978</f>
        <v>145</v>
      </c>
      <c r="K978" s="15">
        <v>215</v>
      </c>
      <c r="L978" s="15">
        <f ca="1">RANDBETWEEN(30,87)</f>
        <v>70</v>
      </c>
      <c r="M978" s="11">
        <f ca="1">(L978/J978)</f>
        <v>0.48275862068965519</v>
      </c>
      <c r="N978" s="18">
        <v>52</v>
      </c>
      <c r="O978" s="18" t="str">
        <f t="shared" ca="1" si="62"/>
        <v>Understocked</v>
      </c>
      <c r="P978" s="11" t="str">
        <f ca="1">RANDBETWEEN(30,76)&amp;"%"</f>
        <v>30%</v>
      </c>
      <c r="Q978" s="18">
        <f>PRODUCT(K978,N978)</f>
        <v>11180</v>
      </c>
    </row>
    <row r="979" spans="1:17" x14ac:dyDescent="0.45">
      <c r="A979" s="6" t="s">
        <v>1008</v>
      </c>
      <c r="B979" s="9" t="s">
        <v>1002</v>
      </c>
      <c r="C979" s="6" t="s">
        <v>32</v>
      </c>
      <c r="D979" s="18">
        <f ca="1">RANDBETWEEN(500,1000)</f>
        <v>650</v>
      </c>
      <c r="E979" s="19">
        <v>45451</v>
      </c>
      <c r="F979" s="18">
        <v>19</v>
      </c>
      <c r="G979" s="20">
        <v>0.61</v>
      </c>
      <c r="H979" s="18">
        <f t="shared" ca="1" si="60"/>
        <v>59</v>
      </c>
      <c r="I979" s="18">
        <f t="shared" ca="1" si="61"/>
        <v>99</v>
      </c>
      <c r="J979" s="15">
        <f ca="1">K979-L979</f>
        <v>773</v>
      </c>
      <c r="K979" s="15">
        <v>817</v>
      </c>
      <c r="L979" s="15">
        <f ca="1">RANDBETWEEN(30,87)</f>
        <v>44</v>
      </c>
      <c r="M979" s="11">
        <f ca="1">(L979/J979)</f>
        <v>5.6921086675291076E-2</v>
      </c>
      <c r="N979" s="18">
        <v>96</v>
      </c>
      <c r="O979" s="18" t="str">
        <f t="shared" ca="1" si="62"/>
        <v>Understocked</v>
      </c>
      <c r="P979" s="11" t="str">
        <f ca="1">RANDBETWEEN(30,76)&amp;"%"</f>
        <v>63%</v>
      </c>
      <c r="Q979" s="18">
        <f>PRODUCT(K979,N979)</f>
        <v>78432</v>
      </c>
    </row>
    <row r="980" spans="1:17" x14ac:dyDescent="0.45">
      <c r="A980" s="6" t="s">
        <v>1009</v>
      </c>
      <c r="B980" s="9" t="s">
        <v>1002</v>
      </c>
      <c r="C980" s="6" t="s">
        <v>32</v>
      </c>
      <c r="D980" s="18">
        <f ca="1">RANDBETWEEN(500,1000)</f>
        <v>979</v>
      </c>
      <c r="E980" s="19">
        <v>45492</v>
      </c>
      <c r="F980" s="18">
        <v>98</v>
      </c>
      <c r="G980" s="20">
        <v>0.74</v>
      </c>
      <c r="H980" s="18">
        <f t="shared" ca="1" si="60"/>
        <v>77</v>
      </c>
      <c r="I980" s="18">
        <f t="shared" ca="1" si="61"/>
        <v>122</v>
      </c>
      <c r="J980" s="15">
        <f ca="1">K980-L980</f>
        <v>181</v>
      </c>
      <c r="K980" s="15">
        <v>215</v>
      </c>
      <c r="L980" s="15">
        <f ca="1">RANDBETWEEN(30,87)</f>
        <v>34</v>
      </c>
      <c r="M980" s="11">
        <f ca="1">(L980/J980)</f>
        <v>0.18784530386740331</v>
      </c>
      <c r="N980" s="18">
        <v>62</v>
      </c>
      <c r="O980" s="18" t="str">
        <f t="shared" ca="1" si="62"/>
        <v>Optimal</v>
      </c>
      <c r="P980" s="11" t="str">
        <f ca="1">RANDBETWEEN(30,76)&amp;"%"</f>
        <v>71%</v>
      </c>
      <c r="Q980" s="18">
        <f>PRODUCT(K980,N980)</f>
        <v>13330</v>
      </c>
    </row>
    <row r="981" spans="1:17" x14ac:dyDescent="0.45">
      <c r="A981" s="6" t="s">
        <v>1010</v>
      </c>
      <c r="B981" s="9" t="s">
        <v>1011</v>
      </c>
      <c r="C981" s="6" t="s">
        <v>32</v>
      </c>
      <c r="D981" s="18">
        <f ca="1">RANDBETWEEN(500,1000)</f>
        <v>852</v>
      </c>
      <c r="E981" s="19">
        <v>45360</v>
      </c>
      <c r="F981" s="18">
        <v>25</v>
      </c>
      <c r="G981" s="20">
        <v>0.8</v>
      </c>
      <c r="H981" s="18">
        <f t="shared" ca="1" si="60"/>
        <v>69</v>
      </c>
      <c r="I981" s="18">
        <f t="shared" ca="1" si="61"/>
        <v>100</v>
      </c>
      <c r="J981" s="15">
        <f ca="1">K981-L981</f>
        <v>298</v>
      </c>
      <c r="K981" s="15">
        <v>344</v>
      </c>
      <c r="L981" s="15">
        <f ca="1">RANDBETWEEN(30,87)</f>
        <v>46</v>
      </c>
      <c r="M981" s="11">
        <f ca="1">(L981/J981)</f>
        <v>0.15436241610738255</v>
      </c>
      <c r="N981" s="18">
        <v>36</v>
      </c>
      <c r="O981" s="18" t="str">
        <f t="shared" ca="1" si="62"/>
        <v>Understocked</v>
      </c>
      <c r="P981" s="11" t="str">
        <f ca="1">RANDBETWEEN(30,76)&amp;"%"</f>
        <v>69%</v>
      </c>
      <c r="Q981" s="18">
        <f>PRODUCT(K981,N981)</f>
        <v>12384</v>
      </c>
    </row>
    <row r="982" spans="1:17" x14ac:dyDescent="0.45">
      <c r="A982" s="6" t="s">
        <v>1012</v>
      </c>
      <c r="B982" s="9" t="s">
        <v>1011</v>
      </c>
      <c r="C982" s="6" t="s">
        <v>32</v>
      </c>
      <c r="D982" s="18">
        <f ca="1">RANDBETWEEN(500,1000)</f>
        <v>991</v>
      </c>
      <c r="E982" s="19">
        <v>45475</v>
      </c>
      <c r="F982" s="18">
        <v>85</v>
      </c>
      <c r="G982" s="20">
        <v>0.3</v>
      </c>
      <c r="H982" s="18">
        <f t="shared" ca="1" si="60"/>
        <v>75</v>
      </c>
      <c r="I982" s="18">
        <f t="shared" ca="1" si="61"/>
        <v>133</v>
      </c>
      <c r="J982" s="15">
        <f ca="1">K982-L982</f>
        <v>309</v>
      </c>
      <c r="K982" s="15">
        <v>344</v>
      </c>
      <c r="L982" s="15">
        <f ca="1">RANDBETWEEN(30,87)</f>
        <v>35</v>
      </c>
      <c r="M982" s="11">
        <f ca="1">(L982/J982)</f>
        <v>0.11326860841423948</v>
      </c>
      <c r="N982" s="18">
        <v>92</v>
      </c>
      <c r="O982" s="18" t="str">
        <f t="shared" ca="1" si="62"/>
        <v>Optimal</v>
      </c>
      <c r="P982" s="11" t="str">
        <f ca="1">RANDBETWEEN(30,76)&amp;"%"</f>
        <v>59%</v>
      </c>
      <c r="Q982" s="18">
        <f>PRODUCT(K982,N982)</f>
        <v>31648</v>
      </c>
    </row>
    <row r="983" spans="1:17" x14ac:dyDescent="0.45">
      <c r="A983" s="6" t="s">
        <v>1013</v>
      </c>
      <c r="B983" s="9" t="s">
        <v>1011</v>
      </c>
      <c r="C983" s="6" t="s">
        <v>32</v>
      </c>
      <c r="D983" s="18">
        <f ca="1">RANDBETWEEN(500,1000)</f>
        <v>949</v>
      </c>
      <c r="E983" s="19">
        <v>45399</v>
      </c>
      <c r="F983" s="18">
        <v>58</v>
      </c>
      <c r="G983" s="20">
        <v>0.63</v>
      </c>
      <c r="H983" s="18">
        <f t="shared" ca="1" si="60"/>
        <v>65</v>
      </c>
      <c r="I983" s="18">
        <f t="shared" ca="1" si="61"/>
        <v>182</v>
      </c>
      <c r="J983" s="15">
        <f ca="1">K983-L983</f>
        <v>185</v>
      </c>
      <c r="K983" s="15">
        <v>215</v>
      </c>
      <c r="L983" s="15">
        <f ca="1">RANDBETWEEN(30,87)</f>
        <v>30</v>
      </c>
      <c r="M983" s="11">
        <f ca="1">(L983/J983)</f>
        <v>0.16216216216216217</v>
      </c>
      <c r="N983" s="18">
        <v>25</v>
      </c>
      <c r="O983" s="18" t="str">
        <f t="shared" ca="1" si="62"/>
        <v>Understocked</v>
      </c>
      <c r="P983" s="11" t="str">
        <f ca="1">RANDBETWEEN(30,76)&amp;"%"</f>
        <v>49%</v>
      </c>
      <c r="Q983" s="18">
        <f>PRODUCT(K983,N983)</f>
        <v>5375</v>
      </c>
    </row>
    <row r="984" spans="1:17" x14ac:dyDescent="0.45">
      <c r="A984" s="6" t="s">
        <v>1014</v>
      </c>
      <c r="B984" s="9" t="s">
        <v>1011</v>
      </c>
      <c r="C984" s="6" t="s">
        <v>32</v>
      </c>
      <c r="D984" s="18">
        <f ca="1">RANDBETWEEN(500,1000)</f>
        <v>806</v>
      </c>
      <c r="E984" s="19">
        <v>45570</v>
      </c>
      <c r="F984" s="18">
        <v>25</v>
      </c>
      <c r="G984" s="20">
        <v>0.51</v>
      </c>
      <c r="H984" s="18">
        <f t="shared" ca="1" si="60"/>
        <v>57</v>
      </c>
      <c r="I984" s="18">
        <f t="shared" ca="1" si="61"/>
        <v>129</v>
      </c>
      <c r="J984" s="15">
        <f ca="1">K984-L984</f>
        <v>346</v>
      </c>
      <c r="K984" s="15">
        <v>387</v>
      </c>
      <c r="L984" s="15">
        <f ca="1">RANDBETWEEN(30,87)</f>
        <v>41</v>
      </c>
      <c r="M984" s="11">
        <f ca="1">(L984/J984)</f>
        <v>0.11849710982658959</v>
      </c>
      <c r="N984" s="18">
        <v>31</v>
      </c>
      <c r="O984" s="18" t="str">
        <f t="shared" ca="1" si="62"/>
        <v>Understocked</v>
      </c>
      <c r="P984" s="11" t="str">
        <f ca="1">RANDBETWEEN(30,76)&amp;"%"</f>
        <v>60%</v>
      </c>
      <c r="Q984" s="18">
        <f>PRODUCT(K984,N984)</f>
        <v>11997</v>
      </c>
    </row>
    <row r="985" spans="1:17" x14ac:dyDescent="0.45">
      <c r="A985" s="6" t="s">
        <v>1015</v>
      </c>
      <c r="B985" s="9" t="s">
        <v>1011</v>
      </c>
      <c r="C985" s="6" t="s">
        <v>32</v>
      </c>
      <c r="D985" s="18">
        <f ca="1">RANDBETWEEN(500,1000)</f>
        <v>546</v>
      </c>
      <c r="E985" s="19">
        <v>45422</v>
      </c>
      <c r="F985" s="18">
        <v>37</v>
      </c>
      <c r="G985" s="20">
        <v>0.37</v>
      </c>
      <c r="H985" s="18">
        <f t="shared" ca="1" si="60"/>
        <v>57</v>
      </c>
      <c r="I985" s="18">
        <f t="shared" ca="1" si="61"/>
        <v>118</v>
      </c>
      <c r="J985" s="15">
        <f ca="1">K985-L985</f>
        <v>153</v>
      </c>
      <c r="K985" s="15">
        <v>215</v>
      </c>
      <c r="L985" s="15">
        <f ca="1">RANDBETWEEN(30,87)</f>
        <v>62</v>
      </c>
      <c r="M985" s="11">
        <f ca="1">(L985/J985)</f>
        <v>0.40522875816993464</v>
      </c>
      <c r="N985" s="18">
        <v>27</v>
      </c>
      <c r="O985" s="18" t="str">
        <f t="shared" ca="1" si="62"/>
        <v>Understocked</v>
      </c>
      <c r="P985" s="11" t="str">
        <f ca="1">RANDBETWEEN(30,76)&amp;"%"</f>
        <v>34%</v>
      </c>
      <c r="Q985" s="18">
        <f>PRODUCT(K985,N985)</f>
        <v>5805</v>
      </c>
    </row>
    <row r="986" spans="1:17" x14ac:dyDescent="0.45">
      <c r="A986" s="6" t="s">
        <v>1016</v>
      </c>
      <c r="B986" s="9" t="s">
        <v>1011</v>
      </c>
      <c r="C986" s="6" t="s">
        <v>32</v>
      </c>
      <c r="D986" s="18">
        <f ca="1">RANDBETWEEN(500,1000)</f>
        <v>775</v>
      </c>
      <c r="E986" s="19">
        <v>45522</v>
      </c>
      <c r="F986" s="18">
        <v>92</v>
      </c>
      <c r="G986" s="20">
        <v>0.38</v>
      </c>
      <c r="H986" s="18">
        <f t="shared" ca="1" si="60"/>
        <v>78</v>
      </c>
      <c r="I986" s="18">
        <f t="shared" ca="1" si="61"/>
        <v>84</v>
      </c>
      <c r="J986" s="15">
        <f ca="1">K986-L986</f>
        <v>301</v>
      </c>
      <c r="K986" s="15">
        <v>344</v>
      </c>
      <c r="L986" s="15">
        <f ca="1">RANDBETWEEN(30,87)</f>
        <v>43</v>
      </c>
      <c r="M986" s="11">
        <f ca="1">(L986/J986)</f>
        <v>0.14285714285714285</v>
      </c>
      <c r="N986" s="18">
        <v>40</v>
      </c>
      <c r="O986" s="18" t="str">
        <f t="shared" ca="1" si="62"/>
        <v>Optimal</v>
      </c>
      <c r="P986" s="11" t="str">
        <f ca="1">RANDBETWEEN(30,76)&amp;"%"</f>
        <v>30%</v>
      </c>
      <c r="Q986" s="18">
        <f>PRODUCT(K986,N986)</f>
        <v>13760</v>
      </c>
    </row>
    <row r="987" spans="1:17" x14ac:dyDescent="0.45">
      <c r="A987" s="6" t="s">
        <v>1017</v>
      </c>
      <c r="B987" s="9" t="s">
        <v>1011</v>
      </c>
      <c r="C987" s="6" t="s">
        <v>32</v>
      </c>
      <c r="D987" s="18">
        <f ca="1">RANDBETWEEN(500,1000)</f>
        <v>540</v>
      </c>
      <c r="E987" s="19">
        <v>45349</v>
      </c>
      <c r="F987" s="18">
        <v>16</v>
      </c>
      <c r="G987" s="20">
        <v>0.64</v>
      </c>
      <c r="H987" s="18">
        <f t="shared" ca="1" si="60"/>
        <v>73</v>
      </c>
      <c r="I987" s="18">
        <f t="shared" ca="1" si="61"/>
        <v>136</v>
      </c>
      <c r="J987" s="15">
        <f ca="1">K987-L987</f>
        <v>441</v>
      </c>
      <c r="K987" s="15">
        <v>473</v>
      </c>
      <c r="L987" s="15">
        <f ca="1">RANDBETWEEN(30,87)</f>
        <v>32</v>
      </c>
      <c r="M987" s="11">
        <f ca="1">(L987/J987)</f>
        <v>7.2562358276643993E-2</v>
      </c>
      <c r="N987" s="18">
        <v>35</v>
      </c>
      <c r="O987" s="18" t="str">
        <f t="shared" ca="1" si="62"/>
        <v>Understocked</v>
      </c>
      <c r="P987" s="11" t="str">
        <f ca="1">RANDBETWEEN(30,76)&amp;"%"</f>
        <v>60%</v>
      </c>
      <c r="Q987" s="18">
        <f>PRODUCT(K987,N987)</f>
        <v>16555</v>
      </c>
    </row>
    <row r="988" spans="1:17" x14ac:dyDescent="0.45">
      <c r="A988" s="6" t="s">
        <v>1018</v>
      </c>
      <c r="B988" s="9" t="s">
        <v>1011</v>
      </c>
      <c r="C988" s="6" t="s">
        <v>32</v>
      </c>
      <c r="D988" s="18">
        <f ca="1">RANDBETWEEN(500,1000)</f>
        <v>798</v>
      </c>
      <c r="E988" s="19">
        <v>45654</v>
      </c>
      <c r="F988" s="18">
        <v>88</v>
      </c>
      <c r="G988" s="20">
        <v>0.62</v>
      </c>
      <c r="H988" s="18">
        <f t="shared" ca="1" si="60"/>
        <v>64</v>
      </c>
      <c r="I988" s="18">
        <f t="shared" ca="1" si="61"/>
        <v>162</v>
      </c>
      <c r="J988" s="15">
        <f ca="1">K988-L988</f>
        <v>754</v>
      </c>
      <c r="K988" s="15">
        <v>817</v>
      </c>
      <c r="L988" s="15">
        <f ca="1">RANDBETWEEN(30,87)</f>
        <v>63</v>
      </c>
      <c r="M988" s="11">
        <f ca="1">(L988/J988)</f>
        <v>8.3554376657824933E-2</v>
      </c>
      <c r="N988" s="18">
        <v>28</v>
      </c>
      <c r="O988" s="18" t="str">
        <f t="shared" ca="1" si="62"/>
        <v>Optimal</v>
      </c>
      <c r="P988" s="11" t="str">
        <f ca="1">RANDBETWEEN(30,76)&amp;"%"</f>
        <v>48%</v>
      </c>
      <c r="Q988" s="18">
        <f>PRODUCT(K988,N988)</f>
        <v>22876</v>
      </c>
    </row>
    <row r="989" spans="1:17" x14ac:dyDescent="0.45">
      <c r="A989" s="6" t="s">
        <v>1019</v>
      </c>
      <c r="B989" s="9" t="s">
        <v>1011</v>
      </c>
      <c r="C989" s="6" t="s">
        <v>32</v>
      </c>
      <c r="D989" s="18">
        <f ca="1">RANDBETWEEN(500,1000)</f>
        <v>885</v>
      </c>
      <c r="E989" s="19">
        <v>45620</v>
      </c>
      <c r="F989" s="18">
        <v>87</v>
      </c>
      <c r="G989" s="20">
        <v>0.89</v>
      </c>
      <c r="H989" s="18">
        <f t="shared" ca="1" si="60"/>
        <v>64</v>
      </c>
      <c r="I989" s="18">
        <f t="shared" ca="1" si="61"/>
        <v>186</v>
      </c>
      <c r="J989" s="15">
        <f ca="1">K989-L989</f>
        <v>283</v>
      </c>
      <c r="K989" s="15">
        <v>344</v>
      </c>
      <c r="L989" s="15">
        <f ca="1">RANDBETWEEN(30,87)</f>
        <v>61</v>
      </c>
      <c r="M989" s="11">
        <f ca="1">(L989/J989)</f>
        <v>0.21554770318021202</v>
      </c>
      <c r="N989" s="18">
        <v>22</v>
      </c>
      <c r="O989" s="18" t="str">
        <f t="shared" ca="1" si="62"/>
        <v>Optimal</v>
      </c>
      <c r="P989" s="11" t="str">
        <f ca="1">RANDBETWEEN(30,76)&amp;"%"</f>
        <v>32%</v>
      </c>
      <c r="Q989" s="18">
        <f>PRODUCT(K989,N989)</f>
        <v>7568</v>
      </c>
    </row>
    <row r="990" spans="1:17" x14ac:dyDescent="0.45">
      <c r="A990" s="6" t="s">
        <v>1020</v>
      </c>
      <c r="B990" s="9" t="s">
        <v>1011</v>
      </c>
      <c r="C990" s="6" t="s">
        <v>32</v>
      </c>
      <c r="D990" s="18">
        <f ca="1">RANDBETWEEN(500,1000)</f>
        <v>960</v>
      </c>
      <c r="E990" s="19">
        <v>45479</v>
      </c>
      <c r="F990" s="18">
        <v>89</v>
      </c>
      <c r="G990" s="20">
        <v>0.35</v>
      </c>
      <c r="H990" s="18">
        <f t="shared" ca="1" si="60"/>
        <v>63</v>
      </c>
      <c r="I990" s="18">
        <f t="shared" ca="1" si="61"/>
        <v>177</v>
      </c>
      <c r="J990" s="15">
        <f ca="1">K990-L990</f>
        <v>329</v>
      </c>
      <c r="K990" s="15">
        <v>387</v>
      </c>
      <c r="L990" s="15">
        <f ca="1">RANDBETWEEN(30,87)</f>
        <v>58</v>
      </c>
      <c r="M990" s="11">
        <f ca="1">(L990/J990)</f>
        <v>0.17629179331306991</v>
      </c>
      <c r="N990" s="18">
        <v>76</v>
      </c>
      <c r="O990" s="18" t="str">
        <f t="shared" ca="1" si="62"/>
        <v>Optimal</v>
      </c>
      <c r="P990" s="11" t="str">
        <f ca="1">RANDBETWEEN(30,76)&amp;"%"</f>
        <v>66%</v>
      </c>
      <c r="Q990" s="18">
        <f>PRODUCT(K990,N990)</f>
        <v>29412</v>
      </c>
    </row>
    <row r="991" spans="1:17" x14ac:dyDescent="0.45">
      <c r="A991" s="6" t="s">
        <v>238</v>
      </c>
      <c r="B991" s="9" t="s">
        <v>234</v>
      </c>
      <c r="C991" s="6"/>
      <c r="D991" s="18">
        <f ca="1">RANDBETWEEN(500,1000)</f>
        <v>752</v>
      </c>
      <c r="E991" s="19">
        <v>45622</v>
      </c>
      <c r="F991" s="18">
        <v>69</v>
      </c>
      <c r="G991" s="20">
        <v>0.87</v>
      </c>
      <c r="H991" s="18">
        <f t="shared" ca="1" si="60"/>
        <v>56</v>
      </c>
      <c r="I991" s="18">
        <f t="shared" ca="1" si="61"/>
        <v>110</v>
      </c>
      <c r="J991" s="15">
        <f ca="1">K991-L991</f>
        <v>460</v>
      </c>
      <c r="K991" s="15">
        <v>516</v>
      </c>
      <c r="L991" s="15">
        <f ca="1">RANDBETWEEN(30,87)</f>
        <v>56</v>
      </c>
      <c r="M991" s="11">
        <f ca="1">(L991/J991)</f>
        <v>0.12173913043478261</v>
      </c>
      <c r="N991" s="18">
        <v>36</v>
      </c>
      <c r="O991" s="18" t="str">
        <f t="shared" ca="1" si="62"/>
        <v>Optimal</v>
      </c>
      <c r="P991" s="11" t="str">
        <f ca="1">RANDBETWEEN(30,76)&amp;"%"</f>
        <v>39%</v>
      </c>
      <c r="Q991" s="18">
        <f>PRODUCT(K991,N991)</f>
        <v>18576</v>
      </c>
    </row>
  </sheetData>
  <autoFilter ref="K1:K991" xr:uid="{A93A9582-64E4-444B-B41F-A046393C4FE1}">
    <filterColumn colId="0">
      <filters>
        <filter val="₹ 1,015"/>
        <filter val="₹ 1,023"/>
        <filter val="₹ 1,032"/>
        <filter val="₹ 1,075"/>
        <filter val="₹ 1,203"/>
        <filter val="₹ 1,281"/>
        <filter val="₹ 1,290"/>
        <filter val="₹ 1,317"/>
        <filter val="₹ 1,333"/>
        <filter val="₹ 1,548"/>
        <filter val="₹ 1,720"/>
        <filter val="₹ 1,763"/>
        <filter val="₹ 1,806"/>
        <filter val="₹ 103"/>
        <filter val="₹ 125"/>
        <filter val="₹ 129"/>
        <filter val="₹ 138"/>
        <filter val="₹ 146"/>
        <filter val="₹ 151"/>
        <filter val="₹ 155"/>
        <filter val="₹ 163"/>
        <filter val="₹ 172"/>
        <filter val="₹ 181"/>
        <filter val="₹ 198"/>
        <filter val="₹ 2,150"/>
        <filter val="₹ 2,172"/>
        <filter val="₹ 2,176"/>
        <filter val="₹ 2,193"/>
        <filter val="₹ 2,580"/>
        <filter val="₹ 2,623"/>
        <filter val="₹ 2,666"/>
        <filter val="₹ 202"/>
        <filter val="₹ 206"/>
        <filter val="₹ 211"/>
        <filter val="₹ 213"/>
        <filter val="₹ 215"/>
        <filter val="₹ 217"/>
        <filter val="₹ 219"/>
        <filter val="₹ 228"/>
        <filter val="₹ 232"/>
        <filter val="₹ 237"/>
        <filter val="₹ 241"/>
        <filter val="₹ 245"/>
        <filter val="₹ 249"/>
        <filter val="₹ 254"/>
        <filter val="₹ 258"/>
        <filter val="₹ 267"/>
        <filter val="₹ 275"/>
        <filter val="₹ 280"/>
        <filter val="₹ 292"/>
        <filter val="₹ 297"/>
        <filter val="₹ 3,662"/>
        <filter val="₹ 301"/>
        <filter val="₹ 331"/>
        <filter val="₹ 335"/>
        <filter val="₹ 340"/>
        <filter val="₹ 344"/>
        <filter val="₹ 353"/>
        <filter val="₹ 361"/>
        <filter val="₹ 366"/>
        <filter val="₹ 370"/>
        <filter val="₹ 374"/>
        <filter val="₹ 378"/>
        <filter val="₹ 383"/>
        <filter val="₹ 387"/>
        <filter val="₹ 396"/>
        <filter val="₹ 4,401"/>
        <filter val="₹ 4,629"/>
        <filter val="₹ 404"/>
        <filter val="₹ 409"/>
        <filter val="₹ 413"/>
        <filter val="₹ 421"/>
        <filter val="₹ 430"/>
        <filter val="₹ 447"/>
        <filter val="₹ 456"/>
        <filter val="₹ 473"/>
        <filter val="₹ 490"/>
        <filter val="₹ 499"/>
        <filter val="₹ 5,723"/>
        <filter val="₹ 507"/>
        <filter val="₹ 516"/>
        <filter val="₹ 525"/>
        <filter val="₹ 529"/>
        <filter val="₹ 533"/>
        <filter val="₹ 538"/>
        <filter val="₹ 542"/>
        <filter val="₹ 546"/>
        <filter val="₹ 559"/>
        <filter val="₹ 576"/>
        <filter val="₹ 585"/>
        <filter val="₹ 602"/>
        <filter val="₹ 611"/>
        <filter val="₹ 619"/>
        <filter val="₹ 645"/>
        <filter val="₹ 654"/>
        <filter val="₹ 688"/>
        <filter val="₹ 697"/>
        <filter val="₹ 731"/>
        <filter val="₹ 765"/>
        <filter val="₹ 77"/>
        <filter val="₹ 774"/>
        <filter val="₹ 791"/>
        <filter val="₹ 817"/>
        <filter val="₹ 839"/>
        <filter val="₹ 846"/>
        <filter val="₹ 86"/>
        <filter val="₹ 860"/>
        <filter val="₹ 886"/>
        <filter val="₹ 903"/>
        <filter val="₹ 989"/>
        <filter val="₹ 998"/>
      </filters>
    </filterColumn>
  </autoFilter>
  <sortState xmlns:xlrd2="http://schemas.microsoft.com/office/spreadsheetml/2017/richdata2" ref="A2:Q991">
    <sortCondition ref="C1:C9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Grocery_Inventory new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JELLYFIN SERVER</dc:creator>
  <cp:lastModifiedBy>Ridhima Agarwal</cp:lastModifiedBy>
  <dcterms:created xsi:type="dcterms:W3CDTF">2026-04-05T17:12:53Z</dcterms:created>
  <dcterms:modified xsi:type="dcterms:W3CDTF">2026-04-07T13:54:40Z</dcterms:modified>
</cp:coreProperties>
</file>